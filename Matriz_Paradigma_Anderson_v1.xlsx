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STRUÇÕES" sheetId="1" state="visible" r:id="rId1"/>
    <sheet name="DADOS_PORTAL" sheetId="2" state="visible" r:id="rId2"/>
    <sheet name="DADOS_LAI" sheetId="3" state="visible" r:id="rId3"/>
    <sheet name="EVENTOS_FUNCIONAIS" sheetId="4" state="visible" r:id="rId4"/>
    <sheet name="MATRIZ_ESPELHO" sheetId="5" state="visible" r:id="rId5"/>
    <sheet name="PEDIDO_LAI" sheetId="6" state="visible" r:id="rId6"/>
    <sheet name="FONTES_BUSCA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1F3864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1F3864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509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C00000"/>
      <sz val="10"/>
    </font>
    <font>
      <name val="Arial"/>
      <charset val="1"/>
      <family val="0"/>
      <b val="1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i val="1"/>
      <color rgb="FFFFFFFF"/>
      <sz val="10"/>
    </font>
    <font>
      <name val="Arial"/>
      <charset val="1"/>
      <family val="0"/>
      <i val="1"/>
      <sz val="10"/>
    </font>
  </fonts>
  <fills count="11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BDD7EE"/>
        <bgColor rgb="FF99CCFF"/>
      </patternFill>
    </fill>
    <fill>
      <patternFill patternType="solid">
        <fgColor rgb="FF2E5090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5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8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left" vertical="bottom" wrapText="1"/>
    </xf>
    <xf numFmtId="0" fontId="10" fillId="8" borderId="0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general" vertical="bottom"/>
    </xf>
    <xf numFmtId="164" fontId="6" fillId="2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8" fillId="5" borderId="1" applyAlignment="1" pivotButton="0" quotePrefix="0" xfId="0">
      <alignment horizontal="left" vertical="center" wrapText="1"/>
    </xf>
    <xf numFmtId="0" fontId="9" fillId="6" borderId="2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3" fillId="7" borderId="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0" fontId="14" fillId="9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left" vertical="bottom" wrapText="1"/>
    </xf>
    <xf numFmtId="0" fontId="10" fillId="8" borderId="0" applyAlignment="1" pivotButton="0" quotePrefix="0" xfId="0">
      <alignment horizontal="center" vertical="center" wrapText="1"/>
    </xf>
    <xf numFmtId="0" fontId="16" fillId="4" borderId="0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general" vertical="bottom"/>
    </xf>
    <xf numFmtId="164" fontId="6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E2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1" min="1" max="1"/>
    <col width="28" customWidth="1" style="41" min="2" max="2"/>
    <col width="60" customWidth="1" style="41" min="3" max="3"/>
    <col width="20" customWidth="1" style="41" min="4" max="4"/>
    <col width="16" customWidth="1" style="41" min="5" max="5"/>
  </cols>
  <sheetData>
    <row r="1" ht="30" customHeight="1" s="42">
      <c r="B1" s="43" t="inlineStr">
        <is>
          <t>MATRIZ DO PARADIGMA FUNCIONAL — ANDERSON VIEIRA DE LIMA</t>
        </is>
      </c>
    </row>
    <row r="2" ht="21.75" customHeight="1" s="42">
      <c r="B2" s="44" t="inlineStr">
        <is>
          <t>Técnico do Seguro Social | APS Eirunepé/AM | Concurso INSS 2008 (ID 2865092) | 2º lugar: 61,00 pts</t>
        </is>
      </c>
    </row>
    <row r="4" ht="7.5" customHeight="1" s="42"/>
    <row r="5" ht="36" customHeight="1" s="42">
      <c r="B5" s="45" t="inlineStr">
        <is>
          <t>OBJETIVO</t>
        </is>
      </c>
      <c r="C5" s="46" t="inlineStr">
        <is>
          <t>Esta planilha é seu cofre de inteligência funcional sobre o paradigma. Cada aba corresponde a uma fonte de dados. Preencha conforme os dados chegam — LAI, Portal da Transparência, DOU e portarias. O resultado final será a 'Matriz Espelho': a carreira que o Autor teria percorrido.</t>
        </is>
      </c>
      <c r="D5" s="47" t="n"/>
      <c r="E5" s="47" t="n"/>
    </row>
    <row r="6" ht="7.5" customHeight="1" s="42"/>
    <row r="7" ht="36" customHeight="1" s="42">
      <c r="B7" s="45" t="inlineStr">
        <is>
          <t>COMO USAR</t>
        </is>
      </c>
      <c r="C7" s="46" t="n"/>
      <c r="D7" s="47" t="n"/>
      <c r="E7" s="47" t="n"/>
    </row>
    <row r="8" ht="36" customHeight="1" s="42">
      <c r="B8" s="48" t="inlineStr">
        <is>
          <t>Aba DADOS_PORTAL</t>
        </is>
      </c>
      <c r="C8" s="49" t="inlineStr">
        <is>
          <t>Preencha mês a mês com os dados brutos do Portal da Transparência (2013–2026). Foco: Vencimento Básico, GAE, GDASS. Toda variação no VB indica progressão.</t>
        </is>
      </c>
      <c r="D8" s="47" t="n"/>
      <c r="E8" s="47" t="n"/>
    </row>
    <row r="9" ht="36" customHeight="1" s="42">
      <c r="B9" s="48" t="inlineStr">
        <is>
          <t>Aba DADOS_LAI</t>
        </is>
      </c>
      <c r="C9" s="49" t="inlineStr">
        <is>
          <t>Preencha com os dados recebidos via LAI (2008–2013). Mesmo formato. Use também para portarias recebidas.</t>
        </is>
      </c>
      <c r="D9" s="47" t="n"/>
      <c r="E9" s="47" t="n"/>
    </row>
    <row r="10" ht="36" customHeight="1" s="42">
      <c r="B10" s="48" t="inlineStr">
        <is>
          <t>Aba EVENTOS_FUNCIONAIS</t>
        </is>
      </c>
      <c r="C10" s="49" t="inlineStr">
        <is>
          <t>Registre cada progressão/promoção identificada: data, de qual padrão, para qual padrão, portaria. Esta é a coluna vertebral do cálculo.</t>
        </is>
      </c>
      <c r="D10" s="47" t="n"/>
      <c r="E10" s="47" t="n"/>
    </row>
    <row r="11" ht="36" customHeight="1" s="42">
      <c r="B11" s="48" t="inlineStr">
        <is>
          <t>Aba MATRIZ_ESPELHO</t>
        </is>
      </c>
      <c r="C11" s="49" t="inlineStr">
        <is>
          <t>Resultado final: carreira projetada do Autor mês a mês, baseada na trajetória do paradigma. Usada como base para perícia.</t>
        </is>
      </c>
      <c r="D11" s="47" t="n"/>
      <c r="E11" s="47" t="n"/>
    </row>
    <row r="12" ht="36" customHeight="1" s="42">
      <c r="B12" s="48" t="inlineStr">
        <is>
          <t>Aba PEDIDO_LAI</t>
        </is>
      </c>
      <c r="C12" s="49" t="inlineStr">
        <is>
          <t>Texto pronto do pedido LAI para disparar no Fala.BR.</t>
        </is>
      </c>
      <c r="D12" s="47" t="n"/>
      <c r="E12" s="47" t="n"/>
    </row>
    <row r="13" ht="36" customHeight="1" s="42">
      <c r="B13" s="48" t="inlineStr">
        <is>
          <t>Aba FONTES_BUSCA</t>
        </is>
      </c>
      <c r="C13" s="49" t="inlineStr">
        <is>
          <t>URLs e orientações para cada fonte de dados públicos.</t>
        </is>
      </c>
      <c r="D13" s="47" t="n"/>
      <c r="E13" s="47" t="n"/>
    </row>
    <row r="14" ht="7.5" customHeight="1" s="42"/>
    <row r="15" ht="36" customHeight="1" s="42">
      <c r="B15" s="45" t="inlineStr">
        <is>
          <t>CAMPOS CRÍTICOS</t>
        </is>
      </c>
      <c r="C15" s="46" t="n"/>
      <c r="D15" s="47" t="n"/>
      <c r="E15" s="47" t="n"/>
    </row>
    <row r="16" ht="36" customHeight="1" s="42">
      <c r="B16" s="48" t="inlineStr">
        <is>
          <t>Matrícula SIAPE</t>
        </is>
      </c>
      <c r="C16" s="49" t="inlineStr">
        <is>
          <t>Obter no Portal da Transparência — perfil do servidor. Campo público.</t>
        </is>
      </c>
      <c r="D16" s="47" t="n"/>
      <c r="E16" s="47" t="n"/>
    </row>
    <row r="17" ht="36" customHeight="1" s="42">
      <c r="B17" s="48" t="inlineStr">
        <is>
          <t>Nome completo exato</t>
        </is>
      </c>
      <c r="C17" s="49" t="inlineStr">
        <is>
          <t>Necessário para busca no DOU / Imprensa Nacional.</t>
        </is>
      </c>
      <c r="D17" s="47" t="n"/>
      <c r="E17" s="47" t="n"/>
    </row>
    <row r="18" ht="36" customHeight="1" s="42">
      <c r="B18" s="48" t="inlineStr">
        <is>
          <t>Data de posse (2008)</t>
        </is>
      </c>
      <c r="C18" s="49" t="inlineStr">
        <is>
          <t>Mês exato — marco inicial de todos os cálculos.</t>
        </is>
      </c>
      <c r="D18" s="47" t="n"/>
      <c r="E18" s="47" t="n"/>
    </row>
    <row r="19" ht="36" customHeight="1" s="42">
      <c r="B19" s="48" t="inlineStr">
        <is>
          <t>Classe/Padrão atual</t>
        </is>
      </c>
      <c r="C19" s="49" t="inlineStr">
        <is>
          <t>Visible no Portal — confirma ponto de chegada da carreira.</t>
        </is>
      </c>
      <c r="D19" s="47" t="n"/>
      <c r="E19" s="47" t="n"/>
    </row>
    <row r="20" ht="7.5" customHeight="1" s="42"/>
    <row r="21" ht="36" customHeight="1" s="42">
      <c r="B21" s="45" t="inlineStr">
        <is>
          <t>AVISO JURÍDICO</t>
        </is>
      </c>
      <c r="C21" s="46" t="inlineStr">
        <is>
          <t>Todos os dados coletados são públicos por força da Lei 12.527/2011 e do art. 37 da CF/88. Remuneração de servidor público é dado de transparência ativa obrigatória — STF ARE 652.777. Nenhuma coleta aqui viola a LGPD.</t>
        </is>
      </c>
      <c r="D21" s="47" t="n"/>
      <c r="E21" s="47" t="n"/>
    </row>
  </sheetData>
  <mergeCells count="16">
    <mergeCell ref="C16:E16"/>
    <mergeCell ref="B1:E1"/>
    <mergeCell ref="C11:E11"/>
    <mergeCell ref="C13:E13"/>
    <mergeCell ref="C5:E5"/>
    <mergeCell ref="C19:E19"/>
    <mergeCell ref="C8:E8"/>
    <mergeCell ref="C9:E9"/>
    <mergeCell ref="C18:E18"/>
    <mergeCell ref="C17:E17"/>
    <mergeCell ref="B2:E2"/>
    <mergeCell ref="C7:E7"/>
    <mergeCell ref="C21:E21"/>
    <mergeCell ref="C15:E15"/>
    <mergeCell ref="C12:E12"/>
    <mergeCell ref="C10:E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1:M17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1" min="1" max="1"/>
    <col width="10" customWidth="1" style="41" min="2" max="3"/>
    <col width="16" customWidth="1" style="41" min="4" max="4"/>
    <col width="14" customWidth="1" style="41" min="5" max="6"/>
    <col width="12" customWidth="1" style="41" min="7" max="7"/>
    <col width="14" customWidth="1" style="41" min="8" max="8"/>
    <col width="12" customWidth="1" style="41" min="9" max="10"/>
    <col width="14" customWidth="1" style="41" min="11" max="12"/>
    <col width="20" customWidth="1" style="41" min="13" max="13"/>
  </cols>
  <sheetData>
    <row r="1" ht="27.75" customHeight="1" s="42">
      <c r="B1" s="50" t="inlineStr">
        <is>
          <t>DADOS DO PORTAL DA TRANSPARÊNCIA — ANDERSON VIEIRA DE LIMA (2013–2026)</t>
        </is>
      </c>
    </row>
    <row r="2" ht="18" customHeight="1" s="42">
      <c r="B2" s="51" t="inlineStr">
        <is>
          <t>Fonte: transparencia.gov.br → Servidores → pesquisar pelo nome → aba Remuneração Mensal → exportar CSV por ano</t>
        </is>
      </c>
    </row>
    <row r="3" ht="36" customHeight="1" s="42">
      <c r="B3" s="52" t="inlineStr">
        <is>
          <t>Ano</t>
        </is>
      </c>
      <c r="C3" s="52" t="inlineStr">
        <is>
          <t>Mês</t>
        </is>
      </c>
      <c r="D3" s="52" t="inlineStr">
        <is>
          <t>Mês/Ano</t>
        </is>
      </c>
      <c r="E3" s="52" t="inlineStr">
        <is>
          <t>Venc. Básico (R$)</t>
        </is>
      </c>
      <c r="F3" s="52" t="inlineStr">
        <is>
          <t>GAE (R$)</t>
        </is>
      </c>
      <c r="G3" s="52" t="inlineStr">
        <is>
          <t>GDASS (pts)</t>
        </is>
      </c>
      <c r="H3" s="52" t="inlineStr">
        <is>
          <t>GDASS (R$)</t>
        </is>
      </c>
      <c r="I3" s="52" t="inlineStr">
        <is>
          <t>Outras Grat. (R$)</t>
        </is>
      </c>
      <c r="J3" s="52" t="inlineStr">
        <is>
          <t>Total Bruto (R$)</t>
        </is>
      </c>
      <c r="K3" s="52" t="inlineStr">
        <is>
          <t>VB variou?</t>
        </is>
      </c>
      <c r="L3" s="52" t="inlineStr">
        <is>
          <t>Classe/Padrão</t>
        </is>
      </c>
      <c r="M3" s="52" t="inlineStr">
        <is>
          <t>Observações</t>
        </is>
      </c>
    </row>
    <row r="4" ht="15.75" customHeight="1" s="42">
      <c r="B4" s="53" t="n">
        <v>2013</v>
      </c>
      <c r="C4" s="53" t="inlineStr">
        <is>
          <t>Jan</t>
        </is>
      </c>
      <c r="D4" s="53" t="inlineStr">
        <is>
          <t>Jan/2013</t>
        </is>
      </c>
      <c r="E4" s="54" t="n">
        <v>5885.74</v>
      </c>
      <c r="F4" s="54" t="n"/>
      <c r="G4" s="54" t="n"/>
      <c r="H4" s="54" t="n"/>
      <c r="I4" s="54" t="n">
        <v>843.8099999999999</v>
      </c>
      <c r="J4" s="54" t="n">
        <v>6729.549999999999</v>
      </c>
      <c r="K4" s="53" t="inlineStr">
        <is>
          <t>Marco inicial</t>
        </is>
      </c>
      <c r="L4" s="54" t="inlineStr">
        <is>
          <t>Classe S, Padrão V</t>
        </is>
      </c>
      <c r="M4" s="54" t="inlineStr">
        <is>
          <t>Portal Transparência CGU</t>
        </is>
      </c>
    </row>
    <row r="5" ht="15.75" customHeight="1" s="42">
      <c r="B5" s="55" t="n">
        <v>2013</v>
      </c>
      <c r="C5" s="55" t="inlineStr">
        <is>
          <t>Fev</t>
        </is>
      </c>
      <c r="D5" s="55" t="inlineStr">
        <is>
          <t>Fev/2013</t>
        </is>
      </c>
      <c r="E5" s="56" t="n">
        <v>5827.77</v>
      </c>
      <c r="F5" s="56" t="n"/>
      <c r="G5" s="56" t="n"/>
      <c r="H5" s="56" t="n"/>
      <c r="I5" s="56" t="n">
        <v>0</v>
      </c>
      <c r="J5" s="56" t="n">
        <v>5827.77</v>
      </c>
      <c r="K5" s="55">
        <f>IF(E5&lt;&gt;E4,IF(E5="","",IF(E4="","","⬆ PROGRESSÃO")),"—")</f>
        <v/>
      </c>
      <c r="L5" s="56" t="inlineStr">
        <is>
          <t>Classe S, Padrão V</t>
        </is>
      </c>
      <c r="M5" s="56" t="inlineStr">
        <is>
          <t>Portal Transparência CGU</t>
        </is>
      </c>
    </row>
    <row r="6" ht="15.75" customHeight="1" s="42">
      <c r="B6" s="53" t="n">
        <v>2013</v>
      </c>
      <c r="C6" s="53" t="inlineStr">
        <is>
          <t>Mar</t>
        </is>
      </c>
      <c r="D6" s="53" t="inlineStr">
        <is>
          <t>Mar/2013</t>
        </is>
      </c>
      <c r="E6" s="54" t="n">
        <v>5885.74</v>
      </c>
      <c r="F6" s="54" t="n"/>
      <c r="G6" s="54" t="n"/>
      <c r="H6" s="54" t="n"/>
      <c r="I6" s="54" t="n">
        <v>57.97</v>
      </c>
      <c r="J6" s="54" t="n">
        <v>5943.71</v>
      </c>
      <c r="K6" s="53">
        <f>IF(E6&lt;&gt;E5,IF(E6="","",IF(E5="","","⬆ PROGRESSÃO")),"—")</f>
        <v/>
      </c>
      <c r="L6" s="54" t="inlineStr">
        <is>
          <t>Classe S, Padrão V</t>
        </is>
      </c>
      <c r="M6" s="54" t="inlineStr">
        <is>
          <t>Portal Transparência CGU</t>
        </is>
      </c>
    </row>
    <row r="7" ht="15.75" customHeight="1" s="42">
      <c r="B7" s="55" t="n">
        <v>2013</v>
      </c>
      <c r="C7" s="55" t="inlineStr">
        <is>
          <t>Abr</t>
        </is>
      </c>
      <c r="D7" s="55" t="inlineStr">
        <is>
          <t>Abr/2013</t>
        </is>
      </c>
      <c r="E7" s="56" t="n">
        <v>5885.74</v>
      </c>
      <c r="F7" s="56" t="n"/>
      <c r="G7" s="56" t="n"/>
      <c r="H7" s="56" t="n"/>
      <c r="I7" s="56" t="n">
        <v>0</v>
      </c>
      <c r="J7" s="56" t="n">
        <v>5885.74</v>
      </c>
      <c r="K7" s="55">
        <f>IF(E7&lt;&gt;E6,IF(E7="","",IF(E6="","","⬆ PROGRESSÃO")),"—")</f>
        <v/>
      </c>
      <c r="L7" s="56" t="inlineStr">
        <is>
          <t>Classe S, Padrão V</t>
        </is>
      </c>
      <c r="M7" s="56" t="inlineStr">
        <is>
          <t>Portal Transparência CGU</t>
        </is>
      </c>
    </row>
    <row r="8" ht="15.75" customHeight="1" s="42">
      <c r="B8" s="53" t="n">
        <v>2013</v>
      </c>
      <c r="C8" s="53" t="inlineStr">
        <is>
          <t>Mai</t>
        </is>
      </c>
      <c r="D8" s="53" t="inlineStr">
        <is>
          <t>Mai/2013</t>
        </is>
      </c>
      <c r="E8" s="54" t="n">
        <v>5885.74</v>
      </c>
      <c r="F8" s="54" t="n"/>
      <c r="G8" s="54" t="n"/>
      <c r="H8" s="54" t="n"/>
      <c r="I8" s="54" t="n">
        <v>0</v>
      </c>
      <c r="J8" s="54" t="n">
        <v>5885.74</v>
      </c>
      <c r="K8" s="53">
        <f>IF(E8&lt;&gt;E7,IF(E8="","",IF(E7="","","⬆ PROGRESSÃO")),"—")</f>
        <v/>
      </c>
      <c r="L8" s="54" t="inlineStr">
        <is>
          <t>Classe S, Padrão V</t>
        </is>
      </c>
      <c r="M8" s="54" t="inlineStr">
        <is>
          <t>Portal Transparência CGU</t>
        </is>
      </c>
    </row>
    <row r="9" ht="15.75" customHeight="1" s="42">
      <c r="B9" s="55" t="n">
        <v>2013</v>
      </c>
      <c r="C9" s="55" t="inlineStr">
        <is>
          <t>Jun</t>
        </is>
      </c>
      <c r="D9" s="55" t="inlineStr">
        <is>
          <t>Jun/2013</t>
        </is>
      </c>
      <c r="E9" s="56" t="n">
        <v>5885.74</v>
      </c>
      <c r="F9" s="56" t="n"/>
      <c r="G9" s="56" t="n"/>
      <c r="H9" s="56" t="n"/>
      <c r="I9" s="56" t="n">
        <v>0</v>
      </c>
      <c r="J9" s="56" t="n">
        <v>5885.74</v>
      </c>
      <c r="K9" s="55">
        <f>IF(E9&lt;&gt;E8,IF(E9="","",IF(E8="","","⬆ PROGRESSÃO")),"—")</f>
        <v/>
      </c>
      <c r="L9" s="56" t="inlineStr">
        <is>
          <t>Classe S, Padrão V</t>
        </is>
      </c>
      <c r="M9" s="56" t="inlineStr">
        <is>
          <t>Portal Transparência CGU</t>
        </is>
      </c>
    </row>
    <row r="10" ht="15.75" customHeight="1" s="42">
      <c r="B10" s="53" t="n">
        <v>2013</v>
      </c>
      <c r="C10" s="53" t="inlineStr">
        <is>
          <t>Jul</t>
        </is>
      </c>
      <c r="D10" s="53" t="inlineStr">
        <is>
          <t>Jul/2013</t>
        </is>
      </c>
      <c r="E10" s="54" t="n">
        <v>5885.74</v>
      </c>
      <c r="F10" s="54" t="n"/>
      <c r="G10" s="54" t="n"/>
      <c r="H10" s="54" t="n"/>
      <c r="I10" s="54" t="n">
        <v>0</v>
      </c>
      <c r="J10" s="54" t="n">
        <v>5885.74</v>
      </c>
      <c r="K10" s="53">
        <f>IF(E10&lt;&gt;E9,IF(E10="","",IF(E9="","","⬆ PROGRESSÃO")),"—")</f>
        <v/>
      </c>
      <c r="L10" s="54" t="inlineStr">
        <is>
          <t>Classe S, Padrão V</t>
        </is>
      </c>
      <c r="M10" s="54" t="inlineStr">
        <is>
          <t>Portal Transparência CGU</t>
        </is>
      </c>
    </row>
    <row r="11" ht="15.75" customHeight="1" s="42">
      <c r="B11" s="55" t="n">
        <v>2013</v>
      </c>
      <c r="C11" s="55" t="inlineStr">
        <is>
          <t>Ago</t>
        </is>
      </c>
      <c r="D11" s="55" t="inlineStr">
        <is>
          <t>Ago/2013</t>
        </is>
      </c>
      <c r="E11" s="56" t="n">
        <v>5885.74</v>
      </c>
      <c r="F11" s="56" t="n"/>
      <c r="G11" s="56" t="n"/>
      <c r="H11" s="56" t="n"/>
      <c r="I11" s="56" t="n">
        <v>0</v>
      </c>
      <c r="J11" s="56" t="n">
        <v>5885.74</v>
      </c>
      <c r="K11" s="55">
        <f>IF(E11&lt;&gt;E10,IF(E11="","",IF(E10="","","⬆ PROGRESSÃO")),"—")</f>
        <v/>
      </c>
      <c r="L11" s="56" t="inlineStr">
        <is>
          <t>Classe S, Padrão V</t>
        </is>
      </c>
      <c r="M11" s="56" t="inlineStr">
        <is>
          <t>Portal Transparência CGU</t>
        </is>
      </c>
    </row>
    <row r="12" ht="15.75" customHeight="1" s="42">
      <c r="B12" s="53" t="n">
        <v>2013</v>
      </c>
      <c r="C12" s="53" t="inlineStr">
        <is>
          <t>Set</t>
        </is>
      </c>
      <c r="D12" s="53" t="inlineStr">
        <is>
          <t>Set/2013</t>
        </is>
      </c>
      <c r="E12" s="54" t="n">
        <v>6015.21</v>
      </c>
      <c r="F12" s="54" t="n"/>
      <c r="G12" s="54" t="n"/>
      <c r="H12" s="54" t="n"/>
      <c r="I12" s="54" t="n">
        <v>0</v>
      </c>
      <c r="J12" s="54" t="n">
        <v>6015.21</v>
      </c>
      <c r="K12" s="53">
        <f>IF(E12&lt;&gt;E11,IF(E12="","",IF(E11="","","⬆ PROGRESSÃO")),"—")</f>
        <v/>
      </c>
      <c r="L12" s="54" t="inlineStr">
        <is>
          <t>Classe S, Padrão V</t>
        </is>
      </c>
      <c r="M12" s="54" t="inlineStr">
        <is>
          <t>Portal Transparência CGU</t>
        </is>
      </c>
    </row>
    <row r="13" ht="15.75" customHeight="1" s="42">
      <c r="B13" s="55" t="n">
        <v>2013</v>
      </c>
      <c r="C13" s="55" t="inlineStr">
        <is>
          <t>Out</t>
        </is>
      </c>
      <c r="D13" s="55" t="inlineStr">
        <is>
          <t>Out/2013</t>
        </is>
      </c>
      <c r="E13" s="56" t="n">
        <v>6015.21</v>
      </c>
      <c r="F13" s="56" t="n"/>
      <c r="G13" s="56" t="n"/>
      <c r="H13" s="56" t="n"/>
      <c r="I13" s="56" t="n">
        <v>0</v>
      </c>
      <c r="J13" s="56" t="n">
        <v>6015.21</v>
      </c>
      <c r="K13" s="55">
        <f>IF(E13&lt;&gt;E12,IF(E13="","",IF(E12="","","⬆ PROGRESSÃO")),"—")</f>
        <v/>
      </c>
      <c r="L13" s="56" t="inlineStr">
        <is>
          <t>Classe S, Padrão V</t>
        </is>
      </c>
      <c r="M13" s="56" t="inlineStr">
        <is>
          <t>Portal Transparência CGU</t>
        </is>
      </c>
    </row>
    <row r="14" ht="15.75" customHeight="1" s="42">
      <c r="B14" s="53" t="n">
        <v>2013</v>
      </c>
      <c r="C14" s="53" t="inlineStr">
        <is>
          <t>Nov</t>
        </is>
      </c>
      <c r="D14" s="53" t="inlineStr">
        <is>
          <t>Nov/2013</t>
        </is>
      </c>
      <c r="E14" s="54" t="n">
        <v>6015.21</v>
      </c>
      <c r="F14" s="54" t="n"/>
      <c r="G14" s="54" t="n"/>
      <c r="H14" s="54" t="n"/>
      <c r="I14" s="54" t="n">
        <v>6015.21</v>
      </c>
      <c r="J14" s="54" t="n">
        <v>12030.42</v>
      </c>
      <c r="K14" s="53">
        <f>IF(E14&lt;&gt;E13,IF(E14="","",IF(E13="","","⬆ PROGRESSÃO")),"—")</f>
        <v/>
      </c>
      <c r="L14" s="54" t="inlineStr">
        <is>
          <t>Classe S, Padrão V</t>
        </is>
      </c>
      <c r="M14" s="54" t="inlineStr">
        <is>
          <t>Portal Transparência CGU</t>
        </is>
      </c>
    </row>
    <row r="15" ht="15.75" customHeight="1" s="42">
      <c r="B15" s="55" t="n">
        <v>2013</v>
      </c>
      <c r="C15" s="55" t="inlineStr">
        <is>
          <t>Dez</t>
        </is>
      </c>
      <c r="D15" s="55" t="inlineStr">
        <is>
          <t>Dez/2013</t>
        </is>
      </c>
      <c r="E15" s="56" t="n">
        <v>6015.21</v>
      </c>
      <c r="F15" s="56" t="n"/>
      <c r="G15" s="56" t="n"/>
      <c r="H15" s="56" t="n"/>
      <c r="I15" s="56" t="n">
        <v>5012.67</v>
      </c>
      <c r="J15" s="56" t="n">
        <v>11027.88</v>
      </c>
      <c r="K15" s="55">
        <f>IF(E15&lt;&gt;E14,IF(E15="","",IF(E14="","","⬆ PROGRESSÃO")),"—")</f>
        <v/>
      </c>
      <c r="L15" s="56" t="inlineStr">
        <is>
          <t>Classe S, Padrão V</t>
        </is>
      </c>
      <c r="M15" s="56" t="inlineStr">
        <is>
          <t>Portal Transparência CGU</t>
        </is>
      </c>
    </row>
    <row r="16" ht="15.75" customHeight="1" s="42">
      <c r="B16" s="53" t="n">
        <v>2014</v>
      </c>
      <c r="C16" s="53" t="inlineStr">
        <is>
          <t>Jan</t>
        </is>
      </c>
      <c r="D16" s="53" t="inlineStr">
        <is>
          <t>Jan/2014</t>
        </is>
      </c>
      <c r="E16" s="54" t="n">
        <v>6285.15</v>
      </c>
      <c r="F16" s="54" t="n"/>
      <c r="G16" s="54" t="n"/>
      <c r="H16" s="54" t="n"/>
      <c r="I16" s="54" t="n">
        <v>89.98</v>
      </c>
      <c r="J16" s="54" t="n">
        <v>6375.129999999999</v>
      </c>
      <c r="K16" s="53">
        <f>IF(E16&lt;&gt;E15,IF(E16="","",IF(E15="","","⬆ PROGRESSÃO")),"—")</f>
        <v/>
      </c>
      <c r="L16" s="54" t="inlineStr">
        <is>
          <t>Classe S, Padrão V</t>
        </is>
      </c>
      <c r="M16" s="54" t="inlineStr">
        <is>
          <t>Portal Transparência CGU</t>
        </is>
      </c>
    </row>
    <row r="17" ht="15.75" customHeight="1" s="42">
      <c r="B17" s="55" t="n">
        <v>2014</v>
      </c>
      <c r="C17" s="55" t="inlineStr">
        <is>
          <t>Fev</t>
        </is>
      </c>
      <c r="D17" s="55" t="inlineStr">
        <is>
          <t>Fev/2014</t>
        </is>
      </c>
      <c r="E17" s="56" t="n">
        <v>6285.15</v>
      </c>
      <c r="F17" s="56" t="n"/>
      <c r="G17" s="56" t="n"/>
      <c r="H17" s="56" t="n"/>
      <c r="I17" s="56" t="n">
        <v>0</v>
      </c>
      <c r="J17" s="56" t="n">
        <v>6285.15</v>
      </c>
      <c r="K17" s="55">
        <f>IF(E17&lt;&gt;E16,IF(E17="","",IF(E16="","","⬆ PROGRESSÃO")),"—")</f>
        <v/>
      </c>
      <c r="L17" s="56" t="inlineStr">
        <is>
          <t>Classe S, Padrão V</t>
        </is>
      </c>
      <c r="M17" s="56" t="inlineStr">
        <is>
          <t>Portal Transparência CGU</t>
        </is>
      </c>
    </row>
    <row r="18" ht="15.75" customHeight="1" s="42">
      <c r="B18" s="53" t="n">
        <v>2014</v>
      </c>
      <c r="C18" s="53" t="inlineStr">
        <is>
          <t>Mar</t>
        </is>
      </c>
      <c r="D18" s="53" t="inlineStr">
        <is>
          <t>Mar/2014</t>
        </is>
      </c>
      <c r="E18" s="54" t="n">
        <v>6285.15</v>
      </c>
      <c r="F18" s="54" t="n"/>
      <c r="G18" s="54" t="n"/>
      <c r="H18" s="54" t="n"/>
      <c r="I18" s="54" t="n">
        <v>0</v>
      </c>
      <c r="J18" s="54" t="n">
        <v>6285.15</v>
      </c>
      <c r="K18" s="53">
        <f>IF(E18&lt;&gt;E17,IF(E18="","",IF(E17="","","⬆ PROGRESSÃO")),"—")</f>
        <v/>
      </c>
      <c r="L18" s="54" t="inlineStr">
        <is>
          <t>Classe S, Padrão V</t>
        </is>
      </c>
      <c r="M18" s="54" t="inlineStr">
        <is>
          <t>Portal Transparência CGU</t>
        </is>
      </c>
    </row>
    <row r="19" ht="15.75" customHeight="1" s="42">
      <c r="B19" s="55" t="n">
        <v>2014</v>
      </c>
      <c r="C19" s="55" t="inlineStr">
        <is>
          <t>Abr</t>
        </is>
      </c>
      <c r="D19" s="55" t="inlineStr">
        <is>
          <t>Abr/2014</t>
        </is>
      </c>
      <c r="E19" s="56" t="n">
        <v>6285.15</v>
      </c>
      <c r="F19" s="56" t="n"/>
      <c r="G19" s="56" t="n"/>
      <c r="H19" s="56" t="n"/>
      <c r="I19" s="56" t="n">
        <v>0</v>
      </c>
      <c r="J19" s="56" t="n">
        <v>6285.15</v>
      </c>
      <c r="K19" s="55">
        <f>IF(E19&lt;&gt;E18,IF(E19="","",IF(E18="","","⬆ PROGRESSÃO")),"—")</f>
        <v/>
      </c>
      <c r="L19" s="56" t="inlineStr">
        <is>
          <t>Classe S, Padrão V</t>
        </is>
      </c>
      <c r="M19" s="56" t="inlineStr">
        <is>
          <t>Portal Transparência CGU</t>
        </is>
      </c>
    </row>
    <row r="20" ht="15.75" customHeight="1" s="42">
      <c r="B20" s="53" t="n">
        <v>2014</v>
      </c>
      <c r="C20" s="53" t="inlineStr">
        <is>
          <t>Mai</t>
        </is>
      </c>
      <c r="D20" s="53" t="inlineStr">
        <is>
          <t>Mai/2014</t>
        </is>
      </c>
      <c r="E20" s="54" t="n">
        <v>6285.15</v>
      </c>
      <c r="F20" s="54" t="n"/>
      <c r="G20" s="54" t="n"/>
      <c r="H20" s="54" t="n"/>
      <c r="I20" s="54" t="n">
        <v>0</v>
      </c>
      <c r="J20" s="54" t="n">
        <v>6285.15</v>
      </c>
      <c r="K20" s="53">
        <f>IF(E20&lt;&gt;E19,IF(E20="","",IF(E19="","","⬆ PROGRESSÃO")),"—")</f>
        <v/>
      </c>
      <c r="L20" s="54" t="inlineStr">
        <is>
          <t>Classe S, Padrão V</t>
        </is>
      </c>
      <c r="M20" s="54" t="inlineStr">
        <is>
          <t>Portal Transparência CGU</t>
        </is>
      </c>
    </row>
    <row r="21" ht="15.75" customHeight="1" s="42">
      <c r="B21" s="55" t="n">
        <v>2014</v>
      </c>
      <c r="C21" s="55" t="inlineStr">
        <is>
          <t>Jun</t>
        </is>
      </c>
      <c r="D21" s="55" t="inlineStr">
        <is>
          <t>Jun/2014</t>
        </is>
      </c>
      <c r="E21" s="56" t="n">
        <v>6285.15</v>
      </c>
      <c r="F21" s="56" t="n"/>
      <c r="G21" s="56" t="n"/>
      <c r="H21" s="56" t="n"/>
      <c r="I21" s="56" t="n">
        <v>0</v>
      </c>
      <c r="J21" s="56" t="n">
        <v>6285.15</v>
      </c>
      <c r="K21" s="55">
        <f>IF(E21&lt;&gt;E20,IF(E21="","",IF(E20="","","⬆ PROGRESSÃO")),"—")</f>
        <v/>
      </c>
      <c r="L21" s="56" t="inlineStr">
        <is>
          <t>Classe S, Padrão V</t>
        </is>
      </c>
      <c r="M21" s="56" t="inlineStr">
        <is>
          <t>Portal Transparência CGU</t>
        </is>
      </c>
    </row>
    <row r="22" ht="15.75" customHeight="1" s="42">
      <c r="B22" s="53" t="n">
        <v>2014</v>
      </c>
      <c r="C22" s="53" t="inlineStr">
        <is>
          <t>Jul</t>
        </is>
      </c>
      <c r="D22" s="53" t="inlineStr">
        <is>
          <t>Jul/2014</t>
        </is>
      </c>
      <c r="E22" s="54" t="n">
        <v>6285.15</v>
      </c>
      <c r="F22" s="54" t="n"/>
      <c r="G22" s="54" t="n"/>
      <c r="H22" s="54" t="n"/>
      <c r="I22" s="54" t="n">
        <v>0</v>
      </c>
      <c r="J22" s="54" t="n">
        <v>6285.15</v>
      </c>
      <c r="K22" s="53">
        <f>IF(E22&lt;&gt;E21,IF(E22="","",IF(E21="","","⬆ PROGRESSÃO")),"—")</f>
        <v/>
      </c>
      <c r="L22" s="54" t="inlineStr">
        <is>
          <t>Classe S, Padrão V</t>
        </is>
      </c>
      <c r="M22" s="54" t="inlineStr">
        <is>
          <t>Portal Transparência CGU</t>
        </is>
      </c>
    </row>
    <row r="23" ht="15.75" customHeight="1" s="42">
      <c r="B23" s="55" t="n">
        <v>2014</v>
      </c>
      <c r="C23" s="55" t="inlineStr">
        <is>
          <t>Ago</t>
        </is>
      </c>
      <c r="D23" s="55" t="inlineStr">
        <is>
          <t>Ago/2014</t>
        </is>
      </c>
      <c r="E23" s="56" t="n">
        <v>6285.15</v>
      </c>
      <c r="F23" s="56" t="n"/>
      <c r="G23" s="56" t="n"/>
      <c r="H23" s="56" t="n"/>
      <c r="I23" s="56" t="n">
        <v>0</v>
      </c>
      <c r="J23" s="56" t="n">
        <v>6285.15</v>
      </c>
      <c r="K23" s="55">
        <f>IF(E23&lt;&gt;E22,IF(E23="","",IF(E22="","","⬆ PROGRESSÃO")),"—")</f>
        <v/>
      </c>
      <c r="L23" s="56" t="inlineStr">
        <is>
          <t>Classe S, Padrão V</t>
        </is>
      </c>
      <c r="M23" s="56" t="inlineStr">
        <is>
          <t>Portal Transparência CGU</t>
        </is>
      </c>
    </row>
    <row r="24" ht="15.75" customHeight="1" s="42">
      <c r="B24" s="53" t="n">
        <v>2014</v>
      </c>
      <c r="C24" s="53" t="inlineStr">
        <is>
          <t>Set</t>
        </is>
      </c>
      <c r="D24" s="53" t="inlineStr">
        <is>
          <t>Set/2014</t>
        </is>
      </c>
      <c r="E24" s="54" t="n">
        <v>6285.15</v>
      </c>
      <c r="F24" s="54" t="n"/>
      <c r="G24" s="54" t="n"/>
      <c r="H24" s="54" t="n"/>
      <c r="I24" s="54" t="n">
        <v>0</v>
      </c>
      <c r="J24" s="54" t="n">
        <v>6285.15</v>
      </c>
      <c r="K24" s="53">
        <f>IF(E24&lt;&gt;E23,IF(E24="","",IF(E23="","","⬆ PROGRESSÃO")),"—")</f>
        <v/>
      </c>
      <c r="L24" s="54" t="inlineStr">
        <is>
          <t>Classe S, Padrão V</t>
        </is>
      </c>
      <c r="M24" s="54" t="inlineStr">
        <is>
          <t>Portal Transparência CGU</t>
        </is>
      </c>
    </row>
    <row r="25" ht="15.75" customHeight="1" s="42">
      <c r="B25" s="55" t="n">
        <v>2014</v>
      </c>
      <c r="C25" s="55" t="inlineStr">
        <is>
          <t>Out</t>
        </is>
      </c>
      <c r="D25" s="55" t="inlineStr">
        <is>
          <t>Out/2014</t>
        </is>
      </c>
      <c r="E25" s="56" t="n">
        <v>6285.15</v>
      </c>
      <c r="F25" s="56" t="n"/>
      <c r="G25" s="56" t="n"/>
      <c r="H25" s="56" t="n"/>
      <c r="I25" s="56" t="n">
        <v>0</v>
      </c>
      <c r="J25" s="56" t="n">
        <v>6285.15</v>
      </c>
      <c r="K25" s="55">
        <f>IF(E25&lt;&gt;E24,IF(E25="","",IF(E24="","","⬆ PROGRESSÃO")),"—")</f>
        <v/>
      </c>
      <c r="L25" s="56" t="inlineStr">
        <is>
          <t>Classe S, Padrão V</t>
        </is>
      </c>
      <c r="M25" s="56" t="inlineStr">
        <is>
          <t>Portal Transparência CGU</t>
        </is>
      </c>
    </row>
    <row r="26" ht="15.75" customHeight="1" s="42">
      <c r="B26" s="53" t="n">
        <v>2014</v>
      </c>
      <c r="C26" s="53" t="inlineStr">
        <is>
          <t>Nov</t>
        </is>
      </c>
      <c r="D26" s="53" t="inlineStr">
        <is>
          <t>Nov/2014</t>
        </is>
      </c>
      <c r="E26" s="54" t="n">
        <v>6285.15</v>
      </c>
      <c r="F26" s="54" t="n"/>
      <c r="G26" s="54" t="n"/>
      <c r="H26" s="54" t="n"/>
      <c r="I26" s="54" t="n">
        <v>6285.15</v>
      </c>
      <c r="J26" s="54" t="n">
        <v>12570.3</v>
      </c>
      <c r="K26" s="53">
        <f>IF(E26&lt;&gt;E25,IF(E26="","",IF(E25="","","⬆ PROGRESSÃO")),"—")</f>
        <v/>
      </c>
      <c r="L26" s="54" t="inlineStr">
        <is>
          <t>Classe S, Padrão V</t>
        </is>
      </c>
      <c r="M26" s="54" t="inlineStr">
        <is>
          <t>Portal Transparência CGU</t>
        </is>
      </c>
    </row>
    <row r="27" ht="15.75" customHeight="1" s="42">
      <c r="B27" s="55" t="n">
        <v>2014</v>
      </c>
      <c r="C27" s="55" t="inlineStr">
        <is>
          <t>Dez</t>
        </is>
      </c>
      <c r="D27" s="55" t="inlineStr">
        <is>
          <t>Dez/2014</t>
        </is>
      </c>
      <c r="E27" s="56" t="n">
        <v>6285.15</v>
      </c>
      <c r="F27" s="56" t="n"/>
      <c r="G27" s="56" t="n"/>
      <c r="H27" s="56" t="n"/>
      <c r="I27" s="56" t="n">
        <v>5237.620000000001</v>
      </c>
      <c r="J27" s="56" t="n">
        <v>11522.77</v>
      </c>
      <c r="K27" s="55">
        <f>IF(E27&lt;&gt;E26,IF(E27="","",IF(E26="","","⬆ PROGRESSÃO")),"—")</f>
        <v/>
      </c>
      <c r="L27" s="56" t="inlineStr">
        <is>
          <t>Classe S, Padrão V</t>
        </is>
      </c>
      <c r="M27" s="56" t="inlineStr">
        <is>
          <t>Portal Transparência CGU</t>
        </is>
      </c>
    </row>
    <row r="28" ht="15.75" customHeight="1" s="42">
      <c r="B28" s="53" t="n">
        <v>2015</v>
      </c>
      <c r="C28" s="53" t="inlineStr">
        <is>
          <t>Jan</t>
        </is>
      </c>
      <c r="D28" s="53" t="inlineStr">
        <is>
          <t>Jan/2015</t>
        </is>
      </c>
      <c r="E28" s="54" t="n">
        <v>6568.74</v>
      </c>
      <c r="F28" s="54" t="n"/>
      <c r="G28" s="54" t="n"/>
      <c r="H28" s="54" t="n"/>
      <c r="I28" s="54" t="n">
        <v>94.53</v>
      </c>
      <c r="J28" s="54" t="n">
        <v>6663.27</v>
      </c>
      <c r="K28" s="53">
        <f>IF(E28&lt;&gt;E27,IF(E28="","",IF(E27="","","⬆ PROGRESSÃO")),"—")</f>
        <v/>
      </c>
      <c r="L28" s="54" t="inlineStr">
        <is>
          <t>Classe S, Padrão V</t>
        </is>
      </c>
      <c r="M28" s="54" t="inlineStr">
        <is>
          <t>Portal Transparência CGU</t>
        </is>
      </c>
    </row>
    <row r="29" ht="15.75" customHeight="1" s="42">
      <c r="B29" s="55" t="n">
        <v>2015</v>
      </c>
      <c r="C29" s="55" t="inlineStr">
        <is>
          <t>Fev</t>
        </is>
      </c>
      <c r="D29" s="55" t="inlineStr">
        <is>
          <t>Fev/2015</t>
        </is>
      </c>
      <c r="E29" s="56" t="n">
        <v>6568.74</v>
      </c>
      <c r="F29" s="56" t="n"/>
      <c r="G29" s="56" t="n"/>
      <c r="H29" s="56" t="n"/>
      <c r="I29" s="56" t="n">
        <v>0</v>
      </c>
      <c r="J29" s="56" t="n">
        <v>6568.74</v>
      </c>
      <c r="K29" s="55">
        <f>IF(E29&lt;&gt;E28,IF(E29="","",IF(E28="","","⬆ PROGRESSÃO")),"—")</f>
        <v/>
      </c>
      <c r="L29" s="56" t="inlineStr">
        <is>
          <t>Classe S, Padrão V</t>
        </is>
      </c>
      <c r="M29" s="56" t="inlineStr">
        <is>
          <t>Portal Transparência CGU</t>
        </is>
      </c>
    </row>
    <row r="30" ht="15.75" customHeight="1" s="42">
      <c r="B30" s="53" t="n">
        <v>2015</v>
      </c>
      <c r="C30" s="53" t="inlineStr">
        <is>
          <t>Mar</t>
        </is>
      </c>
      <c r="D30" s="53" t="inlineStr">
        <is>
          <t>Mar/2015</t>
        </is>
      </c>
      <c r="E30" s="54" t="n">
        <v>6717.24</v>
      </c>
      <c r="F30" s="54" t="n"/>
      <c r="G30" s="54" t="n"/>
      <c r="H30" s="54" t="n"/>
      <c r="I30" s="54" t="n">
        <v>0</v>
      </c>
      <c r="J30" s="54" t="n">
        <v>6717.24</v>
      </c>
      <c r="K30" s="53">
        <f>IF(E30&lt;&gt;E29,IF(E30="","",IF(E29="","","⬆ PROGRESSÃO")),"—")</f>
        <v/>
      </c>
      <c r="L30" s="54" t="inlineStr">
        <is>
          <t>Classe S, Padrão V</t>
        </is>
      </c>
      <c r="M30" s="54" t="inlineStr">
        <is>
          <t>Portal Transparência CGU</t>
        </is>
      </c>
    </row>
    <row r="31" ht="15.75" customHeight="1" s="42">
      <c r="B31" s="55" t="n">
        <v>2015</v>
      </c>
      <c r="C31" s="55" t="inlineStr">
        <is>
          <t>Abr</t>
        </is>
      </c>
      <c r="D31" s="55" t="inlineStr">
        <is>
          <t>Abr/2015</t>
        </is>
      </c>
      <c r="E31" s="56" t="n">
        <v>6717.24</v>
      </c>
      <c r="F31" s="56" t="n"/>
      <c r="G31" s="56" t="n"/>
      <c r="H31" s="56" t="n"/>
      <c r="I31" s="56" t="n">
        <v>0</v>
      </c>
      <c r="J31" s="56" t="n">
        <v>6717.24</v>
      </c>
      <c r="K31" s="55">
        <f>IF(E31&lt;&gt;E30,IF(E31="","",IF(E30="","","⬆ PROGRESSÃO")),"—")</f>
        <v/>
      </c>
      <c r="L31" s="56" t="inlineStr">
        <is>
          <t>Classe S, Padrão V</t>
        </is>
      </c>
      <c r="M31" s="56" t="inlineStr">
        <is>
          <t>Portal Transparência CGU</t>
        </is>
      </c>
    </row>
    <row r="32" ht="15.75" customHeight="1" s="42">
      <c r="B32" s="53" t="n">
        <v>2015</v>
      </c>
      <c r="C32" s="53" t="inlineStr">
        <is>
          <t>Mai</t>
        </is>
      </c>
      <c r="D32" s="53" t="inlineStr">
        <is>
          <t>Mai/2015</t>
        </is>
      </c>
      <c r="E32" s="54" t="n">
        <v>6717.24</v>
      </c>
      <c r="F32" s="54" t="n"/>
      <c r="G32" s="54" t="n"/>
      <c r="H32" s="54" t="n"/>
      <c r="I32" s="54" t="n">
        <v>0</v>
      </c>
      <c r="J32" s="54" t="n">
        <v>6717.24</v>
      </c>
      <c r="K32" s="53">
        <f>IF(E32&lt;&gt;E31,IF(E32="","",IF(E31="","","⬆ PROGRESSÃO")),"—")</f>
        <v/>
      </c>
      <c r="L32" s="54" t="inlineStr">
        <is>
          <t>Classe S, Padrão V</t>
        </is>
      </c>
      <c r="M32" s="54" t="inlineStr">
        <is>
          <t>Portal Transparência CGU</t>
        </is>
      </c>
    </row>
    <row r="33" ht="15.75" customHeight="1" s="42">
      <c r="B33" s="55" t="n">
        <v>2015</v>
      </c>
      <c r="C33" s="55" t="inlineStr">
        <is>
          <t>Jun</t>
        </is>
      </c>
      <c r="D33" s="55" t="inlineStr">
        <is>
          <t>Jun/2015</t>
        </is>
      </c>
      <c r="E33" s="56" t="n">
        <v>6717.24</v>
      </c>
      <c r="F33" s="56" t="n"/>
      <c r="G33" s="56" t="n"/>
      <c r="H33" s="56" t="n"/>
      <c r="I33" s="56" t="n">
        <v>0</v>
      </c>
      <c r="J33" s="56" t="n">
        <v>6717.24</v>
      </c>
      <c r="K33" s="55">
        <f>IF(E33&lt;&gt;E32,IF(E33="","",IF(E32="","","⬆ PROGRESSÃO")),"—")</f>
        <v/>
      </c>
      <c r="L33" s="56" t="inlineStr">
        <is>
          <t>Classe S, Padrão V</t>
        </is>
      </c>
      <c r="M33" s="56" t="inlineStr">
        <is>
          <t>Portal Transparência CGU</t>
        </is>
      </c>
    </row>
    <row r="34" ht="15.75" customHeight="1" s="42">
      <c r="B34" s="53" t="n">
        <v>2015</v>
      </c>
      <c r="C34" s="53" t="inlineStr">
        <is>
          <t>Jul</t>
        </is>
      </c>
      <c r="D34" s="53" t="inlineStr">
        <is>
          <t>Jul/2015</t>
        </is>
      </c>
      <c r="E34" s="54" t="n">
        <v>6717.24</v>
      </c>
      <c r="F34" s="54" t="n"/>
      <c r="G34" s="54" t="n"/>
      <c r="H34" s="54" t="n"/>
      <c r="I34" s="54" t="n">
        <v>0</v>
      </c>
      <c r="J34" s="54" t="n">
        <v>6717.24</v>
      </c>
      <c r="K34" s="53">
        <f>IF(E34&lt;&gt;E33,IF(E34="","",IF(E33="","","⬆ PROGRESSÃO")),"—")</f>
        <v/>
      </c>
      <c r="L34" s="54" t="inlineStr">
        <is>
          <t>Classe S, Padrão V</t>
        </is>
      </c>
      <c r="M34" s="54" t="inlineStr">
        <is>
          <t>Portal Transparência CGU</t>
        </is>
      </c>
    </row>
    <row r="35" ht="15.75" customHeight="1" s="42">
      <c r="B35" s="55" t="n">
        <v>2015</v>
      </c>
      <c r="C35" s="55" t="inlineStr">
        <is>
          <t>Ago</t>
        </is>
      </c>
      <c r="D35" s="55" t="inlineStr">
        <is>
          <t>Ago/2015</t>
        </is>
      </c>
      <c r="E35" s="56" t="n">
        <v>6717.24</v>
      </c>
      <c r="F35" s="56" t="n"/>
      <c r="G35" s="56" t="n"/>
      <c r="H35" s="56" t="n"/>
      <c r="I35" s="56" t="n">
        <v>0</v>
      </c>
      <c r="J35" s="56" t="n">
        <v>6717.24</v>
      </c>
      <c r="K35" s="55">
        <f>IF(E35&lt;&gt;E34,IF(E35="","",IF(E34="","","⬆ PROGRESSÃO")),"—")</f>
        <v/>
      </c>
      <c r="L35" s="56" t="inlineStr">
        <is>
          <t>Classe S, Padrão V</t>
        </is>
      </c>
      <c r="M35" s="56" t="inlineStr">
        <is>
          <t>Portal Transparência CGU</t>
        </is>
      </c>
    </row>
    <row r="36" ht="15.75" customHeight="1" s="42">
      <c r="B36" s="53" t="n">
        <v>2015</v>
      </c>
      <c r="C36" s="53" t="inlineStr">
        <is>
          <t>Set</t>
        </is>
      </c>
      <c r="D36" s="53" t="inlineStr">
        <is>
          <t>Set/2015</t>
        </is>
      </c>
      <c r="E36" s="54" t="n">
        <v>6717.24</v>
      </c>
      <c r="F36" s="54" t="n"/>
      <c r="G36" s="54" t="n"/>
      <c r="H36" s="54" t="n"/>
      <c r="I36" s="54" t="n">
        <v>0</v>
      </c>
      <c r="J36" s="54" t="n">
        <v>6717.24</v>
      </c>
      <c r="K36" s="53">
        <f>IF(E36&lt;&gt;E35,IF(E36="","",IF(E35="","","⬆ PROGRESSÃO")),"—")</f>
        <v/>
      </c>
      <c r="L36" s="54" t="inlineStr">
        <is>
          <t>Classe S, Padrão V</t>
        </is>
      </c>
      <c r="M36" s="54" t="inlineStr">
        <is>
          <t>Portal Transparência CGU</t>
        </is>
      </c>
    </row>
    <row r="37" ht="15.75" customHeight="1" s="42">
      <c r="B37" s="55" t="n">
        <v>2015</v>
      </c>
      <c r="C37" s="55" t="inlineStr">
        <is>
          <t>Out</t>
        </is>
      </c>
      <c r="D37" s="55" t="inlineStr">
        <is>
          <t>Out/2015</t>
        </is>
      </c>
      <c r="E37" s="56" t="n">
        <v>6717.24</v>
      </c>
      <c r="F37" s="56" t="n"/>
      <c r="G37" s="56" t="n"/>
      <c r="H37" s="56" t="n"/>
      <c r="I37" s="56" t="n">
        <v>0</v>
      </c>
      <c r="J37" s="56" t="n">
        <v>6717.24</v>
      </c>
      <c r="K37" s="55">
        <f>IF(E37&lt;&gt;E36,IF(E37="","",IF(E36="","","⬆ PROGRESSÃO")),"—")</f>
        <v/>
      </c>
      <c r="L37" s="56" t="inlineStr">
        <is>
          <t>Classe S, Padrão V</t>
        </is>
      </c>
      <c r="M37" s="56" t="inlineStr">
        <is>
          <t>Portal Transparência CGU</t>
        </is>
      </c>
    </row>
    <row r="38" ht="15.75" customHeight="1" s="42">
      <c r="B38" s="53" t="n">
        <v>2015</v>
      </c>
      <c r="C38" s="53" t="inlineStr">
        <is>
          <t>Nov</t>
        </is>
      </c>
      <c r="D38" s="53" t="inlineStr">
        <is>
          <t>Nov/2015</t>
        </is>
      </c>
      <c r="E38" s="54" t="n">
        <v>6717.24</v>
      </c>
      <c r="F38" s="54" t="n"/>
      <c r="G38" s="54" t="n"/>
      <c r="H38" s="54" t="n"/>
      <c r="I38" s="54" t="n">
        <v>6717.24</v>
      </c>
      <c r="J38" s="54" t="n">
        <v>13434.48</v>
      </c>
      <c r="K38" s="53">
        <f>IF(E38&lt;&gt;E37,IF(E38="","",IF(E37="","","⬆ PROGRESSÃO")),"—")</f>
        <v/>
      </c>
      <c r="L38" s="54" t="inlineStr">
        <is>
          <t>Classe S, Padrão V</t>
        </is>
      </c>
      <c r="M38" s="54" t="inlineStr">
        <is>
          <t>Portal Transparência CGU</t>
        </is>
      </c>
    </row>
    <row r="39" ht="15.75" customHeight="1" s="42">
      <c r="B39" s="55" t="n">
        <v>2015</v>
      </c>
      <c r="C39" s="55" t="inlineStr">
        <is>
          <t>Dez</t>
        </is>
      </c>
      <c r="D39" s="55" t="inlineStr">
        <is>
          <t>Dez/2015</t>
        </is>
      </c>
      <c r="E39" s="56" t="n">
        <v>6717.24</v>
      </c>
      <c r="F39" s="56" t="n"/>
      <c r="G39" s="56" t="n"/>
      <c r="H39" s="56" t="n"/>
      <c r="I39" s="56" t="n">
        <v>6722.16</v>
      </c>
      <c r="J39" s="56" t="n">
        <v>13439.4</v>
      </c>
      <c r="K39" s="55">
        <f>IF(E39&lt;&gt;E38,IF(E39="","",IF(E38="","","⬆ PROGRESSÃO")),"—")</f>
        <v/>
      </c>
      <c r="L39" s="56" t="inlineStr">
        <is>
          <t>Classe S, Padrão V</t>
        </is>
      </c>
      <c r="M39" s="56" t="inlineStr">
        <is>
          <t>Portal Transparência CGU</t>
        </is>
      </c>
    </row>
    <row r="40" ht="15.75" customHeight="1" s="42">
      <c r="B40" s="53" t="n">
        <v>2016</v>
      </c>
      <c r="C40" s="53" t="inlineStr">
        <is>
          <t>Jan</t>
        </is>
      </c>
      <c r="D40" s="53" t="inlineStr">
        <is>
          <t>Jan/2016</t>
        </is>
      </c>
      <c r="E40" s="54" t="n">
        <v>6717.24</v>
      </c>
      <c r="F40" s="54" t="n"/>
      <c r="G40" s="54" t="n"/>
      <c r="H40" s="54" t="n"/>
      <c r="I40" s="54" t="n">
        <v>0</v>
      </c>
      <c r="J40" s="54" t="n">
        <v>6717.24</v>
      </c>
      <c r="K40" s="53">
        <f>IF(E40&lt;&gt;E39,IF(E40="","",IF(E39="","","⬆ PROGRESSÃO")),"—")</f>
        <v/>
      </c>
      <c r="L40" s="54" t="inlineStr">
        <is>
          <t>Classe S, Padrão V</t>
        </is>
      </c>
      <c r="M40" s="54" t="inlineStr">
        <is>
          <t>Portal Transparência CGU</t>
        </is>
      </c>
    </row>
    <row r="41" ht="15.75" customHeight="1" s="42">
      <c r="B41" s="55" t="n">
        <v>2016</v>
      </c>
      <c r="C41" s="55" t="inlineStr">
        <is>
          <t>Fev</t>
        </is>
      </c>
      <c r="D41" s="55" t="inlineStr">
        <is>
          <t>Fev/2016</t>
        </is>
      </c>
      <c r="E41" s="56" t="n">
        <v>6717.24</v>
      </c>
      <c r="F41" s="56" t="n"/>
      <c r="G41" s="56" t="n"/>
      <c r="H41" s="56" t="n"/>
      <c r="I41" s="56" t="n">
        <v>0</v>
      </c>
      <c r="J41" s="56" t="n">
        <v>6717.24</v>
      </c>
      <c r="K41" s="55">
        <f>IF(E41&lt;&gt;E40,IF(E41="","",IF(E40="","","⬆ PROGRESSÃO")),"—")</f>
        <v/>
      </c>
      <c r="L41" s="56" t="inlineStr">
        <is>
          <t>Classe S, Padrão V</t>
        </is>
      </c>
      <c r="M41" s="56" t="inlineStr">
        <is>
          <t>Portal Transparência CGU</t>
        </is>
      </c>
    </row>
    <row r="42" ht="15.75" customHeight="1" s="42">
      <c r="B42" s="53" t="n">
        <v>2016</v>
      </c>
      <c r="C42" s="53" t="inlineStr">
        <is>
          <t>Mar</t>
        </is>
      </c>
      <c r="D42" s="53" t="inlineStr">
        <is>
          <t>Mar/2016</t>
        </is>
      </c>
      <c r="E42" s="54" t="n">
        <v>6717.24</v>
      </c>
      <c r="F42" s="54" t="n"/>
      <c r="G42" s="54" t="n"/>
      <c r="H42" s="54" t="n"/>
      <c r="I42" s="54" t="n">
        <v>0</v>
      </c>
      <c r="J42" s="54" t="n">
        <v>6717.24</v>
      </c>
      <c r="K42" s="53">
        <f>IF(E42&lt;&gt;E41,IF(E42="","",IF(E41="","","⬆ PROGRESSÃO")),"—")</f>
        <v/>
      </c>
      <c r="L42" s="54" t="inlineStr">
        <is>
          <t>Classe S, Padrão V</t>
        </is>
      </c>
      <c r="M42" s="54" t="inlineStr">
        <is>
          <t>Portal Transparência CGU</t>
        </is>
      </c>
    </row>
    <row r="43" ht="15.75" customHeight="1" s="42">
      <c r="B43" s="55" t="n">
        <v>2016</v>
      </c>
      <c r="C43" s="55" t="inlineStr">
        <is>
          <t>Abr</t>
        </is>
      </c>
      <c r="D43" s="55" t="inlineStr">
        <is>
          <t>Abr/2016</t>
        </is>
      </c>
      <c r="E43" s="56" t="n">
        <v>6717.24</v>
      </c>
      <c r="F43" s="56" t="n"/>
      <c r="G43" s="56" t="n"/>
      <c r="H43" s="56" t="n"/>
      <c r="I43" s="56" t="n">
        <v>0</v>
      </c>
      <c r="J43" s="56" t="n">
        <v>6717.24</v>
      </c>
      <c r="K43" s="55">
        <f>IF(E43&lt;&gt;E42,IF(E43="","",IF(E42="","","⬆ PROGRESSÃO")),"—")</f>
        <v/>
      </c>
      <c r="L43" s="56" t="inlineStr">
        <is>
          <t>Classe S, Padrão V</t>
        </is>
      </c>
      <c r="M43" s="56" t="inlineStr">
        <is>
          <t>Portal Transparência CGU</t>
        </is>
      </c>
    </row>
    <row r="44" ht="15.75" customHeight="1" s="42">
      <c r="B44" s="53" t="n">
        <v>2016</v>
      </c>
      <c r="C44" s="53" t="inlineStr">
        <is>
          <t>Mai</t>
        </is>
      </c>
      <c r="D44" s="53" t="inlineStr">
        <is>
          <t>Mai/2016</t>
        </is>
      </c>
      <c r="E44" s="54" t="n">
        <v>6717.24</v>
      </c>
      <c r="F44" s="54" t="n"/>
      <c r="G44" s="54" t="n"/>
      <c r="H44" s="54" t="n"/>
      <c r="I44" s="54" t="n">
        <v>0</v>
      </c>
      <c r="J44" s="54" t="n">
        <v>6717.24</v>
      </c>
      <c r="K44" s="53">
        <f>IF(E44&lt;&gt;E43,IF(E44="","",IF(E43="","","⬆ PROGRESSÃO")),"—")</f>
        <v/>
      </c>
      <c r="L44" s="54" t="inlineStr">
        <is>
          <t>Classe S, Padrão V</t>
        </is>
      </c>
      <c r="M44" s="54" t="inlineStr">
        <is>
          <t>Portal Transparência CGU</t>
        </is>
      </c>
    </row>
    <row r="45" ht="15.75" customHeight="1" s="42">
      <c r="B45" s="55" t="n">
        <v>2016</v>
      </c>
      <c r="C45" s="55" t="inlineStr">
        <is>
          <t>Jun</t>
        </is>
      </c>
      <c r="D45" s="55" t="inlineStr">
        <is>
          <t>Jun/2016</t>
        </is>
      </c>
      <c r="E45" s="56" t="n">
        <v>6717.24</v>
      </c>
      <c r="F45" s="56" t="n"/>
      <c r="G45" s="56" t="n"/>
      <c r="H45" s="56" t="n"/>
      <c r="I45" s="56" t="n">
        <v>0</v>
      </c>
      <c r="J45" s="56" t="n">
        <v>6717.24</v>
      </c>
      <c r="K45" s="55">
        <f>IF(E45&lt;&gt;E44,IF(E45="","",IF(E44="","","⬆ PROGRESSÃO")),"—")</f>
        <v/>
      </c>
      <c r="L45" s="56" t="inlineStr">
        <is>
          <t>Classe S, Padrão V</t>
        </is>
      </c>
      <c r="M45" s="56" t="inlineStr">
        <is>
          <t>Portal Transparência CGU</t>
        </is>
      </c>
    </row>
    <row r="46" ht="15.75" customHeight="1" s="42">
      <c r="B46" s="53" t="n">
        <v>2016</v>
      </c>
      <c r="C46" s="53" t="inlineStr">
        <is>
          <t>Jul</t>
        </is>
      </c>
      <c r="D46" s="53" t="inlineStr">
        <is>
          <t>Jul/2016</t>
        </is>
      </c>
      <c r="E46" s="54" t="n">
        <v>6717.24</v>
      </c>
      <c r="F46" s="54" t="n"/>
      <c r="G46" s="54" t="n"/>
      <c r="H46" s="54" t="n"/>
      <c r="I46" s="54" t="n">
        <v>0</v>
      </c>
      <c r="J46" s="54" t="n">
        <v>6717.24</v>
      </c>
      <c r="K46" s="53">
        <f>IF(E46&lt;&gt;E45,IF(E46="","",IF(E45="","","⬆ PROGRESSÃO")),"—")</f>
        <v/>
      </c>
      <c r="L46" s="54" t="inlineStr">
        <is>
          <t>Classe S, Padrão V</t>
        </is>
      </c>
      <c r="M46" s="54" t="inlineStr">
        <is>
          <t>Portal Transparência CGU</t>
        </is>
      </c>
    </row>
    <row r="47" ht="15.75" customHeight="1" s="42">
      <c r="B47" s="55" t="n">
        <v>2016</v>
      </c>
      <c r="C47" s="55" t="inlineStr">
        <is>
          <t>Ago</t>
        </is>
      </c>
      <c r="D47" s="55" t="inlineStr">
        <is>
          <t>Ago/2016</t>
        </is>
      </c>
      <c r="E47" s="56" t="n">
        <v>7106.67</v>
      </c>
      <c r="F47" s="56" t="n"/>
      <c r="G47" s="56" t="n"/>
      <c r="H47" s="56" t="n"/>
      <c r="I47" s="56" t="n">
        <v>0</v>
      </c>
      <c r="J47" s="56" t="n">
        <v>7106.67</v>
      </c>
      <c r="K47" s="55">
        <f>IF(E47&lt;&gt;E46,IF(E47="","",IF(E46="","","⬆ PROGRESSÃO")),"—")</f>
        <v/>
      </c>
      <c r="L47" s="56" t="inlineStr">
        <is>
          <t>Classe S, Padrão V</t>
        </is>
      </c>
      <c r="M47" s="56" t="inlineStr">
        <is>
          <t>Portal Transparência CGU</t>
        </is>
      </c>
    </row>
    <row r="48" ht="15.75" customHeight="1" s="42">
      <c r="B48" s="53" t="n">
        <v>2016</v>
      </c>
      <c r="C48" s="53" t="inlineStr">
        <is>
          <t>Set</t>
        </is>
      </c>
      <c r="D48" s="53" t="inlineStr">
        <is>
          <t>Set/2016</t>
        </is>
      </c>
      <c r="E48" s="54" t="n">
        <v>7267.92</v>
      </c>
      <c r="F48" s="54" t="n"/>
      <c r="G48" s="54" t="n"/>
      <c r="H48" s="54" t="n"/>
      <c r="I48" s="54" t="n">
        <v>0</v>
      </c>
      <c r="J48" s="54" t="n">
        <v>7267.92</v>
      </c>
      <c r="K48" s="53">
        <f>IF(E48&lt;&gt;E47,IF(E48="","",IF(E47="","","⬆ PROGRESSÃO")),"—")</f>
        <v/>
      </c>
      <c r="L48" s="54" t="inlineStr">
        <is>
          <t>Classe S, Padrão V</t>
        </is>
      </c>
      <c r="M48" s="54" t="inlineStr">
        <is>
          <t>Portal Transparência CGU</t>
        </is>
      </c>
    </row>
    <row r="49" ht="15.75" customHeight="1" s="42">
      <c r="B49" s="55" t="n">
        <v>2016</v>
      </c>
      <c r="C49" s="55" t="inlineStr">
        <is>
          <t>Out</t>
        </is>
      </c>
      <c r="D49" s="55" t="inlineStr">
        <is>
          <t>Out/2016</t>
        </is>
      </c>
      <c r="E49" s="56" t="n">
        <v>7267.92</v>
      </c>
      <c r="F49" s="56" t="n"/>
      <c r="G49" s="56" t="n"/>
      <c r="H49" s="56" t="n"/>
      <c r="I49" s="56" t="n">
        <v>0</v>
      </c>
      <c r="J49" s="56" t="n">
        <v>7267.92</v>
      </c>
      <c r="K49" s="55">
        <f>IF(E49&lt;&gt;E48,IF(E49="","",IF(E48="","","⬆ PROGRESSÃO")),"—")</f>
        <v/>
      </c>
      <c r="L49" s="56" t="inlineStr">
        <is>
          <t>Classe S, Padrão V</t>
        </is>
      </c>
      <c r="M49" s="56" t="inlineStr">
        <is>
          <t>Portal Transparência CGU</t>
        </is>
      </c>
    </row>
    <row r="50" ht="15.75" customHeight="1" s="42">
      <c r="B50" s="53" t="n">
        <v>2016</v>
      </c>
      <c r="C50" s="53" t="inlineStr">
        <is>
          <t>Nov</t>
        </is>
      </c>
      <c r="D50" s="53" t="inlineStr">
        <is>
          <t>Nov/2016</t>
        </is>
      </c>
      <c r="E50" s="54" t="n">
        <v>7267.92</v>
      </c>
      <c r="F50" s="54" t="n"/>
      <c r="G50" s="54" t="n"/>
      <c r="H50" s="54" t="n"/>
      <c r="I50" s="54" t="n">
        <v>7267.92</v>
      </c>
      <c r="J50" s="54" t="n">
        <v>14535.84</v>
      </c>
      <c r="K50" s="53">
        <f>IF(E50&lt;&gt;E49,IF(E50="","",IF(E49="","","⬆ PROGRESSÃO")),"—")</f>
        <v/>
      </c>
      <c r="L50" s="54" t="inlineStr">
        <is>
          <t>Classe S, Padrão V</t>
        </is>
      </c>
      <c r="M50" s="54" t="inlineStr">
        <is>
          <t>Portal Transparência CGU</t>
        </is>
      </c>
    </row>
    <row r="51" ht="15.75" customHeight="1" s="42">
      <c r="B51" s="55" t="n">
        <v>2016</v>
      </c>
      <c r="C51" s="55" t="inlineStr">
        <is>
          <t>Dez</t>
        </is>
      </c>
      <c r="D51" s="55" t="inlineStr">
        <is>
          <t>Dez/2016</t>
        </is>
      </c>
      <c r="E51" s="56" t="n">
        <v>7267.92</v>
      </c>
      <c r="F51" s="56" t="n"/>
      <c r="G51" s="56" t="n"/>
      <c r="H51" s="56" t="n"/>
      <c r="I51" s="56" t="n">
        <v>7060.1</v>
      </c>
      <c r="J51" s="56" t="n">
        <v>14328.02</v>
      </c>
      <c r="K51" s="55">
        <f>IF(E51&lt;&gt;E50,IF(E51="","",IF(E50="","","⬆ PROGRESSÃO")),"—")</f>
        <v/>
      </c>
      <c r="L51" s="56" t="inlineStr">
        <is>
          <t>Classe S, Padrão V</t>
        </is>
      </c>
      <c r="M51" s="56" t="inlineStr">
        <is>
          <t>Portal Transparência CGU</t>
        </is>
      </c>
    </row>
    <row r="52" ht="15.75" customHeight="1" s="42">
      <c r="B52" s="53" t="n">
        <v>2017</v>
      </c>
      <c r="C52" s="53" t="inlineStr">
        <is>
          <t>Jan</t>
        </is>
      </c>
      <c r="D52" s="53" t="inlineStr">
        <is>
          <t>Jan/2017</t>
        </is>
      </c>
      <c r="E52" s="54" t="n">
        <v>8313.74</v>
      </c>
      <c r="F52" s="54" t="n"/>
      <c r="G52" s="54" t="n"/>
      <c r="H52" s="54" t="n"/>
      <c r="I52" s="54" t="n">
        <v>556.02</v>
      </c>
      <c r="J52" s="54" t="n">
        <v>8869.76</v>
      </c>
      <c r="K52" s="53">
        <f>IF(E52&lt;&gt;E51,IF(E52="","",IF(E51="","","⬆ PROGRESSÃO")),"—")</f>
        <v/>
      </c>
      <c r="L52" s="54" t="inlineStr">
        <is>
          <t>Classe S, Padrão V</t>
        </is>
      </c>
      <c r="M52" s="54" t="inlineStr">
        <is>
          <t>Portal Transparência CGU</t>
        </is>
      </c>
    </row>
    <row r="53" ht="15.75" customHeight="1" s="42">
      <c r="B53" s="55" t="n">
        <v>2017</v>
      </c>
      <c r="C53" s="55" t="inlineStr">
        <is>
          <t>Fev</t>
        </is>
      </c>
      <c r="D53" s="55" t="inlineStr">
        <is>
          <t>Fev/2017</t>
        </is>
      </c>
      <c r="E53" s="56" t="n">
        <v>8313.74</v>
      </c>
      <c r="F53" s="56" t="n"/>
      <c r="G53" s="56" t="n"/>
      <c r="H53" s="56" t="n"/>
      <c r="I53" s="56" t="n">
        <v>0</v>
      </c>
      <c r="J53" s="56" t="n">
        <v>8313.74</v>
      </c>
      <c r="K53" s="55">
        <f>IF(E53&lt;&gt;E52,IF(E53="","",IF(E52="","","⬆ PROGRESSÃO")),"—")</f>
        <v/>
      </c>
      <c r="L53" s="56" t="inlineStr">
        <is>
          <t>Classe S, Padrão V</t>
        </is>
      </c>
      <c r="M53" s="56" t="inlineStr">
        <is>
          <t>Portal Transparência CGU</t>
        </is>
      </c>
    </row>
    <row r="54" ht="15.75" customHeight="1" s="42">
      <c r="B54" s="53" t="n">
        <v>2017</v>
      </c>
      <c r="C54" s="53" t="inlineStr">
        <is>
          <t>Mar</t>
        </is>
      </c>
      <c r="D54" s="53" t="inlineStr">
        <is>
          <t>Mar/2017</t>
        </is>
      </c>
      <c r="E54" s="54" t="n">
        <v>8313.74</v>
      </c>
      <c r="F54" s="54" t="n"/>
      <c r="G54" s="54" t="n"/>
      <c r="H54" s="54" t="n"/>
      <c r="I54" s="54" t="n">
        <v>0</v>
      </c>
      <c r="J54" s="54" t="n">
        <v>8313.74</v>
      </c>
      <c r="K54" s="53">
        <f>IF(E54&lt;&gt;E53,IF(E54="","",IF(E53="","","⬆ PROGRESSÃO")),"—")</f>
        <v/>
      </c>
      <c r="L54" s="54" t="inlineStr">
        <is>
          <t>Classe S, Padrão V</t>
        </is>
      </c>
      <c r="M54" s="54" t="inlineStr">
        <is>
          <t>Portal Transparência CGU</t>
        </is>
      </c>
    </row>
    <row r="55" ht="15.75" customHeight="1" s="42">
      <c r="B55" s="55" t="n">
        <v>2017</v>
      </c>
      <c r="C55" s="55" t="inlineStr">
        <is>
          <t>Abr</t>
        </is>
      </c>
      <c r="D55" s="55" t="inlineStr">
        <is>
          <t>Abr/2017</t>
        </is>
      </c>
      <c r="E55" s="56" t="n">
        <v>8313.74</v>
      </c>
      <c r="F55" s="56" t="n"/>
      <c r="G55" s="56" t="n"/>
      <c r="H55" s="56" t="n"/>
      <c r="I55" s="56" t="n">
        <v>0</v>
      </c>
      <c r="J55" s="56" t="n">
        <v>8313.74</v>
      </c>
      <c r="K55" s="55">
        <f>IF(E55&lt;&gt;E54,IF(E55="","",IF(E54="","","⬆ PROGRESSÃO")),"—")</f>
        <v/>
      </c>
      <c r="L55" s="56" t="inlineStr">
        <is>
          <t>Classe S, Padrão V</t>
        </is>
      </c>
      <c r="M55" s="56" t="inlineStr">
        <is>
          <t>Portal Transparência CGU</t>
        </is>
      </c>
    </row>
    <row r="56" ht="15.75" customHeight="1" s="42">
      <c r="B56" s="53" t="n">
        <v>2017</v>
      </c>
      <c r="C56" s="53" t="inlineStr">
        <is>
          <t>Mai</t>
        </is>
      </c>
      <c r="D56" s="53" t="inlineStr">
        <is>
          <t>Mai/2017</t>
        </is>
      </c>
      <c r="E56" s="54" t="n">
        <v>8313.74</v>
      </c>
      <c r="F56" s="54" t="n"/>
      <c r="G56" s="54" t="n"/>
      <c r="H56" s="54" t="n"/>
      <c r="I56" s="54" t="n">
        <v>0</v>
      </c>
      <c r="J56" s="54" t="n">
        <v>8313.74</v>
      </c>
      <c r="K56" s="53">
        <f>IF(E56&lt;&gt;E55,IF(E56="","",IF(E55="","","⬆ PROGRESSÃO")),"—")</f>
        <v/>
      </c>
      <c r="L56" s="54" t="inlineStr">
        <is>
          <t>Classe S, Padrão V</t>
        </is>
      </c>
      <c r="M56" s="54" t="inlineStr">
        <is>
          <t>Portal Transparência CGU</t>
        </is>
      </c>
    </row>
    <row r="57" ht="15.75" customHeight="1" s="42">
      <c r="B57" s="55" t="n">
        <v>2017</v>
      </c>
      <c r="C57" s="55" t="inlineStr">
        <is>
          <t>Jun</t>
        </is>
      </c>
      <c r="D57" s="55" t="inlineStr">
        <is>
          <t>Jun/2017</t>
        </is>
      </c>
      <c r="E57" s="56" t="n">
        <v>8313.74</v>
      </c>
      <c r="F57" s="56" t="n"/>
      <c r="G57" s="56" t="n"/>
      <c r="H57" s="56" t="n"/>
      <c r="I57" s="56" t="n">
        <v>0</v>
      </c>
      <c r="J57" s="56" t="n">
        <v>8313.74</v>
      </c>
      <c r="K57" s="55">
        <f>IF(E57&lt;&gt;E56,IF(E57="","",IF(E56="","","⬆ PROGRESSÃO")),"—")</f>
        <v/>
      </c>
      <c r="L57" s="56" t="inlineStr">
        <is>
          <t>Classe S, Padrão V</t>
        </is>
      </c>
      <c r="M57" s="56" t="inlineStr">
        <is>
          <t>Portal Transparência CGU</t>
        </is>
      </c>
    </row>
    <row r="58" ht="15.75" customHeight="1" s="42">
      <c r="B58" s="53" t="n">
        <v>2017</v>
      </c>
      <c r="C58" s="53" t="inlineStr">
        <is>
          <t>Jul</t>
        </is>
      </c>
      <c r="D58" s="53" t="inlineStr">
        <is>
          <t>Jul/2017</t>
        </is>
      </c>
      <c r="E58" s="54" t="n">
        <v>8313.74</v>
      </c>
      <c r="F58" s="54" t="n"/>
      <c r="G58" s="54" t="n"/>
      <c r="H58" s="54" t="n"/>
      <c r="I58" s="54" t="n">
        <v>0</v>
      </c>
      <c r="J58" s="54" t="n">
        <v>8313.74</v>
      </c>
      <c r="K58" s="53">
        <f>IF(E58&lt;&gt;E57,IF(E58="","",IF(E57="","","⬆ PROGRESSÃO")),"—")</f>
        <v/>
      </c>
      <c r="L58" s="54" t="inlineStr">
        <is>
          <t>Classe S, Padrão V</t>
        </is>
      </c>
      <c r="M58" s="54" t="inlineStr">
        <is>
          <t>Portal Transparência CGU</t>
        </is>
      </c>
    </row>
    <row r="59" ht="15.75" customHeight="1" s="42">
      <c r="B59" s="55" t="n">
        <v>2017</v>
      </c>
      <c r="C59" s="55" t="inlineStr">
        <is>
          <t>Ago</t>
        </is>
      </c>
      <c r="D59" s="55" t="inlineStr">
        <is>
          <t>Ago/2017</t>
        </is>
      </c>
      <c r="E59" s="56" t="n">
        <v>8313.74</v>
      </c>
      <c r="F59" s="56" t="n"/>
      <c r="G59" s="56" t="n"/>
      <c r="H59" s="56" t="n"/>
      <c r="I59" s="56" t="n">
        <v>0</v>
      </c>
      <c r="J59" s="56" t="n">
        <v>8313.74</v>
      </c>
      <c r="K59" s="55">
        <f>IF(E59&lt;&gt;E58,IF(E59="","",IF(E58="","","⬆ PROGRESSÃO")),"—")</f>
        <v/>
      </c>
      <c r="L59" s="56" t="inlineStr">
        <is>
          <t>Classe S, Padrão V</t>
        </is>
      </c>
      <c r="M59" s="56" t="inlineStr">
        <is>
          <t>Portal Transparência CGU</t>
        </is>
      </c>
    </row>
    <row r="60" ht="15.75" customHeight="1" s="42">
      <c r="B60" s="53" t="n">
        <v>2017</v>
      </c>
      <c r="C60" s="53" t="inlineStr">
        <is>
          <t>Set</t>
        </is>
      </c>
      <c r="D60" s="53" t="inlineStr">
        <is>
          <t>Set/2017</t>
        </is>
      </c>
      <c r="E60" s="54" t="n">
        <v>8512.92</v>
      </c>
      <c r="F60" s="54" t="n"/>
      <c r="G60" s="54" t="n"/>
      <c r="H60" s="54" t="n"/>
      <c r="I60" s="54" t="n">
        <v>0</v>
      </c>
      <c r="J60" s="54" t="n">
        <v>8512.92</v>
      </c>
      <c r="K60" s="53">
        <f>IF(E60&lt;&gt;E59,IF(E60="","",IF(E59="","","⬆ PROGRESSÃO")),"—")</f>
        <v/>
      </c>
      <c r="L60" s="54" t="inlineStr">
        <is>
          <t>Classe S, Padrão V</t>
        </is>
      </c>
      <c r="M60" s="54" t="inlineStr">
        <is>
          <t>Portal Transparência CGU</t>
        </is>
      </c>
    </row>
    <row r="61" ht="15.75" customHeight="1" s="42">
      <c r="B61" s="55" t="n">
        <v>2017</v>
      </c>
      <c r="C61" s="55" t="inlineStr">
        <is>
          <t>Out</t>
        </is>
      </c>
      <c r="D61" s="55" t="inlineStr">
        <is>
          <t>Out/2017</t>
        </is>
      </c>
      <c r="E61" s="56" t="n">
        <v>8512.92</v>
      </c>
      <c r="F61" s="56" t="n"/>
      <c r="G61" s="56" t="n"/>
      <c r="H61" s="56" t="n"/>
      <c r="I61" s="56" t="n">
        <v>0</v>
      </c>
      <c r="J61" s="56" t="n">
        <v>8512.92</v>
      </c>
      <c r="K61" s="55">
        <f>IF(E61&lt;&gt;E60,IF(E61="","",IF(E60="","","⬆ PROGRESSÃO")),"—")</f>
        <v/>
      </c>
      <c r="L61" s="56" t="inlineStr">
        <is>
          <t>Classe S, Padrão V</t>
        </is>
      </c>
      <c r="M61" s="56" t="inlineStr">
        <is>
          <t>Portal Transparência CGU</t>
        </is>
      </c>
    </row>
    <row r="62" ht="15.75" customHeight="1" s="42">
      <c r="B62" s="53" t="n">
        <v>2017</v>
      </c>
      <c r="C62" s="53" t="inlineStr">
        <is>
          <t>Nov</t>
        </is>
      </c>
      <c r="D62" s="53" t="inlineStr">
        <is>
          <t>Nov/2017</t>
        </is>
      </c>
      <c r="E62" s="54" t="n">
        <v>8512.92</v>
      </c>
      <c r="F62" s="54" t="n"/>
      <c r="G62" s="54" t="n"/>
      <c r="H62" s="54" t="n"/>
      <c r="I62" s="54" t="n">
        <v>8512.92</v>
      </c>
      <c r="J62" s="54" t="n">
        <v>17025.84</v>
      </c>
      <c r="K62" s="53">
        <f>IF(E62&lt;&gt;E61,IF(E62="","",IF(E61="","","⬆ PROGRESSÃO")),"—")</f>
        <v/>
      </c>
      <c r="L62" s="54" t="inlineStr">
        <is>
          <t>Classe S, Padrão V</t>
        </is>
      </c>
      <c r="M62" s="54" t="inlineStr">
        <is>
          <t>Portal Transparência CGU</t>
        </is>
      </c>
    </row>
    <row r="63" ht="15.75" customHeight="1" s="42">
      <c r="B63" s="55" t="n">
        <v>2017</v>
      </c>
      <c r="C63" s="55" t="inlineStr">
        <is>
          <t>Dez</t>
        </is>
      </c>
      <c r="D63" s="55" t="inlineStr">
        <is>
          <t>Dez/2017</t>
        </is>
      </c>
      <c r="E63" s="56" t="n">
        <v>8512.92</v>
      </c>
      <c r="F63" s="56" t="n"/>
      <c r="G63" s="56" t="n"/>
      <c r="H63" s="56" t="n"/>
      <c r="I63" s="56" t="n">
        <v>7094.1</v>
      </c>
      <c r="J63" s="56" t="n">
        <v>15607.02</v>
      </c>
      <c r="K63" s="55">
        <f>IF(E63&lt;&gt;E62,IF(E63="","",IF(E62="","","⬆ PROGRESSÃO")),"—")</f>
        <v/>
      </c>
      <c r="L63" s="56" t="inlineStr">
        <is>
          <t>Classe S, Padrão V</t>
        </is>
      </c>
      <c r="M63" s="56" t="inlineStr">
        <is>
          <t>Portal Transparência CGU</t>
        </is>
      </c>
    </row>
    <row r="64" ht="15.75" customHeight="1" s="42">
      <c r="B64" s="53" t="n">
        <v>2018</v>
      </c>
      <c r="C64" s="53" t="inlineStr">
        <is>
          <t>Jan</t>
        </is>
      </c>
      <c r="D64" s="53" t="inlineStr">
        <is>
          <t>Jan/2018</t>
        </is>
      </c>
      <c r="E64" s="54" t="n">
        <v>8583.26</v>
      </c>
      <c r="F64" s="54" t="n"/>
      <c r="G64" s="54" t="n"/>
      <c r="H64" s="54" t="n"/>
      <c r="I64" s="54" t="n">
        <v>23.44</v>
      </c>
      <c r="J64" s="54" t="n">
        <v>8606.700000000001</v>
      </c>
      <c r="K64" s="53">
        <f>IF(E64&lt;&gt;E63,IF(E64="","",IF(E63="","","⬆ PROGRESSÃO")),"—")</f>
        <v/>
      </c>
      <c r="L64" s="54" t="inlineStr">
        <is>
          <t>Classe S, Padrão V</t>
        </is>
      </c>
      <c r="M64" s="54" t="inlineStr">
        <is>
          <t>Portal Transparência CGU</t>
        </is>
      </c>
    </row>
    <row r="65" ht="15.75" customHeight="1" s="42">
      <c r="B65" s="55" t="n">
        <v>2018</v>
      </c>
      <c r="C65" s="55" t="inlineStr">
        <is>
          <t>Fev</t>
        </is>
      </c>
      <c r="D65" s="55" t="inlineStr">
        <is>
          <t>Fev/2018</t>
        </is>
      </c>
      <c r="E65" s="56" t="n">
        <v>8583.26</v>
      </c>
      <c r="F65" s="56" t="n"/>
      <c r="G65" s="56" t="n"/>
      <c r="H65" s="56" t="n"/>
      <c r="I65" s="56" t="n">
        <v>0</v>
      </c>
      <c r="J65" s="56" t="n">
        <v>8583.26</v>
      </c>
      <c r="K65" s="55">
        <f>IF(E65&lt;&gt;E64,IF(E65="","",IF(E64="","","⬆ PROGRESSÃO")),"—")</f>
        <v/>
      </c>
      <c r="L65" s="56" t="inlineStr">
        <is>
          <t>Classe S, Padrão V</t>
        </is>
      </c>
      <c r="M65" s="56" t="inlineStr">
        <is>
          <t>Portal Transparência CGU</t>
        </is>
      </c>
    </row>
    <row r="66" ht="15.75" customHeight="1" s="42">
      <c r="B66" s="53" t="n">
        <v>2018</v>
      </c>
      <c r="C66" s="53" t="inlineStr">
        <is>
          <t>Mar</t>
        </is>
      </c>
      <c r="D66" s="53" t="inlineStr">
        <is>
          <t>Mar/2018</t>
        </is>
      </c>
      <c r="E66" s="54" t="n">
        <v>8583.26</v>
      </c>
      <c r="F66" s="54" t="n"/>
      <c r="G66" s="54" t="n"/>
      <c r="H66" s="54" t="n"/>
      <c r="I66" s="54" t="n">
        <v>0</v>
      </c>
      <c r="J66" s="54" t="n">
        <v>8583.26</v>
      </c>
      <c r="K66" s="53">
        <f>IF(E66&lt;&gt;E65,IF(E66="","",IF(E65="","","⬆ PROGRESSÃO")),"—")</f>
        <v/>
      </c>
      <c r="L66" s="54" t="inlineStr">
        <is>
          <t>Classe S, Padrão V</t>
        </is>
      </c>
      <c r="M66" s="54" t="inlineStr">
        <is>
          <t>Portal Transparência CGU</t>
        </is>
      </c>
    </row>
    <row r="67" ht="15.75" customHeight="1" s="42">
      <c r="B67" s="55" t="n">
        <v>2018</v>
      </c>
      <c r="C67" s="55" t="inlineStr">
        <is>
          <t>Abr</t>
        </is>
      </c>
      <c r="D67" s="55" t="inlineStr">
        <is>
          <t>Abr/2018</t>
        </is>
      </c>
      <c r="E67" s="56" t="n">
        <v>8583.26</v>
      </c>
      <c r="F67" s="56" t="n"/>
      <c r="G67" s="56" t="n"/>
      <c r="H67" s="56" t="n"/>
      <c r="I67" s="56" t="n">
        <v>0</v>
      </c>
      <c r="J67" s="56" t="n">
        <v>8583.26</v>
      </c>
      <c r="K67" s="55">
        <f>IF(E67&lt;&gt;E66,IF(E67="","",IF(E66="","","⬆ PROGRESSÃO")),"—")</f>
        <v/>
      </c>
      <c r="L67" s="56" t="inlineStr">
        <is>
          <t>Classe S, Padrão V</t>
        </is>
      </c>
      <c r="M67" s="56" t="inlineStr">
        <is>
          <t>Portal Transparência CGU</t>
        </is>
      </c>
    </row>
    <row r="68" ht="15.75" customHeight="1" s="42">
      <c r="B68" s="53" t="n">
        <v>2018</v>
      </c>
      <c r="C68" s="53" t="inlineStr">
        <is>
          <t>Mai</t>
        </is>
      </c>
      <c r="D68" s="53" t="inlineStr">
        <is>
          <t>Mai/2018</t>
        </is>
      </c>
      <c r="E68" s="54" t="n">
        <v>8583.26</v>
      </c>
      <c r="F68" s="54" t="n"/>
      <c r="G68" s="54" t="n"/>
      <c r="H68" s="54" t="n"/>
      <c r="I68" s="54" t="n">
        <v>0</v>
      </c>
      <c r="J68" s="54" t="n">
        <v>8583.26</v>
      </c>
      <c r="K68" s="53">
        <f>IF(E68&lt;&gt;E67,IF(E68="","",IF(E67="","","⬆ PROGRESSÃO")),"—")</f>
        <v/>
      </c>
      <c r="L68" s="54" t="inlineStr">
        <is>
          <t>Classe S, Padrão V</t>
        </is>
      </c>
      <c r="M68" s="54" t="inlineStr">
        <is>
          <t>Portal Transparência CGU</t>
        </is>
      </c>
    </row>
    <row r="69" ht="15.75" customHeight="1" s="42">
      <c r="B69" s="55" t="n">
        <v>2018</v>
      </c>
      <c r="C69" s="55" t="inlineStr">
        <is>
          <t>Jun</t>
        </is>
      </c>
      <c r="D69" s="55" t="inlineStr">
        <is>
          <t>Jun/2018</t>
        </is>
      </c>
      <c r="E69" s="56" t="n">
        <v>8583.26</v>
      </c>
      <c r="F69" s="56" t="n"/>
      <c r="G69" s="56" t="n"/>
      <c r="H69" s="56" t="n"/>
      <c r="I69" s="56" t="n">
        <v>0</v>
      </c>
      <c r="J69" s="56" t="n">
        <v>8583.26</v>
      </c>
      <c r="K69" s="55">
        <f>IF(E69&lt;&gt;E68,IF(E69="","",IF(E68="","","⬆ PROGRESSÃO")),"—")</f>
        <v/>
      </c>
      <c r="L69" s="56" t="inlineStr">
        <is>
          <t>Classe S, Padrão V</t>
        </is>
      </c>
      <c r="M69" s="56" t="inlineStr">
        <is>
          <t>Portal Transparência CGU</t>
        </is>
      </c>
    </row>
    <row r="70" ht="15.75" customHeight="1" s="42">
      <c r="B70" s="53" t="n">
        <v>2018</v>
      </c>
      <c r="C70" s="53" t="inlineStr">
        <is>
          <t>Jul</t>
        </is>
      </c>
      <c r="D70" s="53" t="inlineStr">
        <is>
          <t>Jul/2018</t>
        </is>
      </c>
      <c r="E70" s="54" t="n">
        <v>8583.26</v>
      </c>
      <c r="F70" s="54" t="n"/>
      <c r="G70" s="54" t="n"/>
      <c r="H70" s="54" t="n"/>
      <c r="I70" s="54" t="n">
        <v>0</v>
      </c>
      <c r="J70" s="54" t="n">
        <v>8583.26</v>
      </c>
      <c r="K70" s="53">
        <f>IF(E70&lt;&gt;E69,IF(E70="","",IF(E69="","","⬆ PROGRESSÃO")),"—")</f>
        <v/>
      </c>
      <c r="L70" s="54" t="inlineStr">
        <is>
          <t>Classe S, Padrão V</t>
        </is>
      </c>
      <c r="M70" s="54" t="inlineStr">
        <is>
          <t>Portal Transparência CGU</t>
        </is>
      </c>
    </row>
    <row r="71" ht="15.75" customHeight="1" s="42">
      <c r="B71" s="55" t="n">
        <v>2018</v>
      </c>
      <c r="C71" s="55" t="inlineStr">
        <is>
          <t>Ago</t>
        </is>
      </c>
      <c r="D71" s="55" t="inlineStr">
        <is>
          <t>Ago/2018</t>
        </is>
      </c>
      <c r="E71" s="56" t="n">
        <v>8583.26</v>
      </c>
      <c r="F71" s="56" t="n"/>
      <c r="G71" s="56" t="n"/>
      <c r="H71" s="56" t="n"/>
      <c r="I71" s="56" t="n">
        <v>0</v>
      </c>
      <c r="J71" s="56" t="n">
        <v>8583.26</v>
      </c>
      <c r="K71" s="55">
        <f>IF(E71&lt;&gt;E70,IF(E71="","",IF(E70="","","⬆ PROGRESSÃO")),"—")</f>
        <v/>
      </c>
      <c r="L71" s="56" t="inlineStr">
        <is>
          <t>Classe S, Padrão V</t>
        </is>
      </c>
      <c r="M71" s="56" t="inlineStr">
        <is>
          <t>Portal Transparência CGU</t>
        </is>
      </c>
    </row>
    <row r="72" ht="15.75" customHeight="1" s="42">
      <c r="B72" s="53" t="n">
        <v>2018</v>
      </c>
      <c r="C72" s="53" t="inlineStr">
        <is>
          <t>Set</t>
        </is>
      </c>
      <c r="D72" s="53" t="inlineStr">
        <is>
          <t>Set/2018</t>
        </is>
      </c>
      <c r="E72" s="54" t="n">
        <v>8915.01</v>
      </c>
      <c r="F72" s="54" t="n"/>
      <c r="G72" s="54" t="n"/>
      <c r="H72" s="54" t="n"/>
      <c r="I72" s="54" t="n">
        <v>0</v>
      </c>
      <c r="J72" s="54" t="n">
        <v>8915.01</v>
      </c>
      <c r="K72" s="53">
        <f>IF(E72&lt;&gt;E71,IF(E72="","",IF(E71="","","⬆ PROGRESSÃO")),"—")</f>
        <v/>
      </c>
      <c r="L72" s="54" t="inlineStr">
        <is>
          <t>Classe S, Padrão V</t>
        </is>
      </c>
      <c r="M72" s="54" t="inlineStr">
        <is>
          <t>Portal Transparência CGU</t>
        </is>
      </c>
    </row>
    <row r="73" ht="15.75" customHeight="1" s="42">
      <c r="B73" s="55" t="n">
        <v>2018</v>
      </c>
      <c r="C73" s="55" t="inlineStr">
        <is>
          <t>Out</t>
        </is>
      </c>
      <c r="D73" s="55" t="inlineStr">
        <is>
          <t>Out/2018</t>
        </is>
      </c>
      <c r="E73" s="56" t="n">
        <v>8915.01</v>
      </c>
      <c r="F73" s="56" t="n"/>
      <c r="G73" s="56" t="n"/>
      <c r="H73" s="56" t="n"/>
      <c r="I73" s="56" t="n">
        <v>0</v>
      </c>
      <c r="J73" s="56" t="n">
        <v>8915.01</v>
      </c>
      <c r="K73" s="55">
        <f>IF(E73&lt;&gt;E72,IF(E73="","",IF(E72="","","⬆ PROGRESSÃO")),"—")</f>
        <v/>
      </c>
      <c r="L73" s="56" t="inlineStr">
        <is>
          <t>Classe S, Padrão V</t>
        </is>
      </c>
      <c r="M73" s="56" t="inlineStr">
        <is>
          <t>Portal Transparência CGU</t>
        </is>
      </c>
    </row>
    <row r="74" ht="15.75" customHeight="1" s="42">
      <c r="B74" s="53" t="n">
        <v>2018</v>
      </c>
      <c r="C74" s="53" t="inlineStr">
        <is>
          <t>Nov</t>
        </is>
      </c>
      <c r="D74" s="53" t="inlineStr">
        <is>
          <t>Nov/2018</t>
        </is>
      </c>
      <c r="E74" s="54" t="n">
        <v>8915.01</v>
      </c>
      <c r="F74" s="54" t="n"/>
      <c r="G74" s="54" t="n"/>
      <c r="H74" s="54" t="n"/>
      <c r="I74" s="54" t="n">
        <v>8915.01</v>
      </c>
      <c r="J74" s="54" t="n">
        <v>17830.02</v>
      </c>
      <c r="K74" s="53">
        <f>IF(E74&lt;&gt;E73,IF(E74="","",IF(E73="","","⬆ PROGRESSÃO")),"—")</f>
        <v/>
      </c>
      <c r="L74" s="54" t="inlineStr">
        <is>
          <t>Classe S, Padrão V</t>
        </is>
      </c>
      <c r="M74" s="54" t="inlineStr">
        <is>
          <t>Portal Transparência CGU</t>
        </is>
      </c>
    </row>
    <row r="75" ht="15.75" customHeight="1" s="42">
      <c r="B75" s="55" t="n">
        <v>2018</v>
      </c>
      <c r="C75" s="55" t="inlineStr">
        <is>
          <t>Dez</t>
        </is>
      </c>
      <c r="D75" s="55" t="inlineStr">
        <is>
          <t>Dez/2018</t>
        </is>
      </c>
      <c r="E75" s="56" t="n">
        <v>8915.01</v>
      </c>
      <c r="F75" s="56" t="n"/>
      <c r="G75" s="56" t="n"/>
      <c r="H75" s="56" t="n"/>
      <c r="I75" s="56" t="n">
        <v>7429.17</v>
      </c>
      <c r="J75" s="56" t="n">
        <v>16344.18</v>
      </c>
      <c r="K75" s="55">
        <f>IF(E75&lt;&gt;E74,IF(E75="","",IF(E74="","","⬆ PROGRESSÃO")),"—")</f>
        <v/>
      </c>
      <c r="L75" s="56" t="inlineStr">
        <is>
          <t>Classe S, Padrão V</t>
        </is>
      </c>
      <c r="M75" s="56" t="inlineStr">
        <is>
          <t>Portal Transparência CGU</t>
        </is>
      </c>
    </row>
    <row r="76" ht="15.75" customHeight="1" s="42">
      <c r="B76" s="53" t="n">
        <v>2019</v>
      </c>
      <c r="C76" s="53" t="inlineStr">
        <is>
          <t>Jan</t>
        </is>
      </c>
      <c r="D76" s="53" t="inlineStr">
        <is>
          <t>Jan/2019</t>
        </is>
      </c>
      <c r="E76" s="54" t="n">
        <v>8895</v>
      </c>
      <c r="F76" s="54" t="n"/>
      <c r="G76" s="54" t="n"/>
      <c r="H76" s="54" t="n"/>
      <c r="I76" s="54" t="n">
        <v>0</v>
      </c>
      <c r="J76" s="54" t="n">
        <v>8895</v>
      </c>
      <c r="K76" s="53">
        <f>IF(E76&lt;&gt;E75,IF(E76="","",IF(E75="","","⬆ PROGRESSÃO")),"—")</f>
        <v/>
      </c>
      <c r="L76" s="54" t="inlineStr">
        <is>
          <t>Classe S, Padrão V</t>
        </is>
      </c>
      <c r="M76" s="54" t="inlineStr">
        <is>
          <t>Portal Transparência CGU</t>
        </is>
      </c>
    </row>
    <row r="77" ht="15.75" customHeight="1" s="42">
      <c r="B77" s="55" t="n">
        <v>2019</v>
      </c>
      <c r="C77" s="55" t="inlineStr">
        <is>
          <t>Fev</t>
        </is>
      </c>
      <c r="D77" s="55" t="inlineStr">
        <is>
          <t>Fev/2019</t>
        </is>
      </c>
      <c r="E77" s="56" t="n">
        <v>8895</v>
      </c>
      <c r="F77" s="56" t="n"/>
      <c r="G77" s="56" t="n"/>
      <c r="H77" s="56" t="n"/>
      <c r="I77" s="56" t="n">
        <v>0</v>
      </c>
      <c r="J77" s="56" t="n">
        <v>8895</v>
      </c>
      <c r="K77" s="55">
        <f>IF(E77&lt;&gt;E76,IF(E77="","",IF(E76="","","⬆ PROGRESSÃO")),"—")</f>
        <v/>
      </c>
      <c r="L77" s="56" t="inlineStr">
        <is>
          <t>Classe S, Padrão V</t>
        </is>
      </c>
      <c r="M77" s="56" t="inlineStr">
        <is>
          <t>Portal Transparência CGU</t>
        </is>
      </c>
    </row>
    <row r="78" ht="15.75" customHeight="1" s="42">
      <c r="B78" s="53" t="n">
        <v>2019</v>
      </c>
      <c r="C78" s="53" t="inlineStr">
        <is>
          <t>Mar</t>
        </is>
      </c>
      <c r="D78" s="53" t="inlineStr">
        <is>
          <t>Mar/2019</t>
        </is>
      </c>
      <c r="E78" s="54" t="n">
        <v>8895</v>
      </c>
      <c r="F78" s="54" t="n"/>
      <c r="G78" s="54" t="n"/>
      <c r="H78" s="54" t="n"/>
      <c r="I78" s="54" t="n">
        <v>0</v>
      </c>
      <c r="J78" s="54" t="n">
        <v>8895</v>
      </c>
      <c r="K78" s="53">
        <f>IF(E78&lt;&gt;E77,IF(E78="","",IF(E77="","","⬆ PROGRESSÃO")),"—")</f>
        <v/>
      </c>
      <c r="L78" s="54" t="inlineStr">
        <is>
          <t>Classe S, Padrão V</t>
        </is>
      </c>
      <c r="M78" s="54" t="inlineStr">
        <is>
          <t>Portal Transparência CGU</t>
        </is>
      </c>
    </row>
    <row r="79" ht="15.75" customHeight="1" s="42">
      <c r="B79" s="55" t="n">
        <v>2019</v>
      </c>
      <c r="C79" s="55" t="inlineStr">
        <is>
          <t>Abr</t>
        </is>
      </c>
      <c r="D79" s="55" t="inlineStr">
        <is>
          <t>Abr/2019</t>
        </is>
      </c>
      <c r="E79" s="56" t="n">
        <v>8895</v>
      </c>
      <c r="F79" s="56" t="n"/>
      <c r="G79" s="56" t="n"/>
      <c r="H79" s="56" t="n"/>
      <c r="I79" s="56" t="n">
        <v>0</v>
      </c>
      <c r="J79" s="56" t="n">
        <v>8895</v>
      </c>
      <c r="K79" s="55">
        <f>IF(E79&lt;&gt;E78,IF(E79="","",IF(E78="","","⬆ PROGRESSÃO")),"—")</f>
        <v/>
      </c>
      <c r="L79" s="56" t="inlineStr">
        <is>
          <t>Classe S, Padrão V</t>
        </is>
      </c>
      <c r="M79" s="56" t="inlineStr">
        <is>
          <t>Portal Transparência CGU</t>
        </is>
      </c>
    </row>
    <row r="80" ht="15.75" customHeight="1" s="42">
      <c r="B80" s="53" t="n">
        <v>2019</v>
      </c>
      <c r="C80" s="53" t="inlineStr">
        <is>
          <t>Mai</t>
        </is>
      </c>
      <c r="D80" s="53" t="inlineStr">
        <is>
          <t>Mai/2019</t>
        </is>
      </c>
      <c r="E80" s="54" t="n">
        <v>8895</v>
      </c>
      <c r="F80" s="54" t="n"/>
      <c r="G80" s="54" t="n"/>
      <c r="H80" s="54" t="n"/>
      <c r="I80" s="54" t="n">
        <v>0</v>
      </c>
      <c r="J80" s="54" t="n">
        <v>8895</v>
      </c>
      <c r="K80" s="53">
        <f>IF(E80&lt;&gt;E79,IF(E80="","",IF(E79="","","⬆ PROGRESSÃO")),"—")</f>
        <v/>
      </c>
      <c r="L80" s="54" t="inlineStr">
        <is>
          <t>Classe S, Padrão V</t>
        </is>
      </c>
      <c r="M80" s="54" t="inlineStr">
        <is>
          <t>Portal Transparência CGU</t>
        </is>
      </c>
    </row>
    <row r="81" ht="15.75" customHeight="1" s="42">
      <c r="B81" s="55" t="n">
        <v>2019</v>
      </c>
      <c r="C81" s="55" t="inlineStr">
        <is>
          <t>Jun</t>
        </is>
      </c>
      <c r="D81" s="55" t="inlineStr">
        <is>
          <t>Jun/2019</t>
        </is>
      </c>
      <c r="E81" s="56" t="n">
        <v>8895</v>
      </c>
      <c r="F81" s="56" t="n"/>
      <c r="G81" s="56" t="n"/>
      <c r="H81" s="56" t="n"/>
      <c r="I81" s="56" t="n">
        <v>0</v>
      </c>
      <c r="J81" s="56" t="n">
        <v>8895</v>
      </c>
      <c r="K81" s="55">
        <f>IF(E81&lt;&gt;E80,IF(E81="","",IF(E80="","","⬆ PROGRESSÃO")),"—")</f>
        <v/>
      </c>
      <c r="L81" s="56" t="inlineStr">
        <is>
          <t>Classe S, Padrão V</t>
        </is>
      </c>
      <c r="M81" s="56" t="inlineStr">
        <is>
          <t>Portal Transparência CGU</t>
        </is>
      </c>
    </row>
    <row r="82" ht="15.75" customHeight="1" s="42">
      <c r="B82" s="53" t="n">
        <v>2019</v>
      </c>
      <c r="C82" s="53" t="inlineStr">
        <is>
          <t>Jul</t>
        </is>
      </c>
      <c r="D82" s="53" t="inlineStr">
        <is>
          <t>Jul/2019</t>
        </is>
      </c>
      <c r="E82" s="54" t="n">
        <v>8895</v>
      </c>
      <c r="F82" s="54" t="n"/>
      <c r="G82" s="54" t="n"/>
      <c r="H82" s="54" t="n"/>
      <c r="I82" s="54" t="n">
        <v>0</v>
      </c>
      <c r="J82" s="54" t="n">
        <v>8895</v>
      </c>
      <c r="K82" s="53">
        <f>IF(E82&lt;&gt;E81,IF(E82="","",IF(E81="","","⬆ PROGRESSÃO")),"—")</f>
        <v/>
      </c>
      <c r="L82" s="54" t="inlineStr">
        <is>
          <t>Classe S, Padrão V</t>
        </is>
      </c>
      <c r="M82" s="54" t="inlineStr">
        <is>
          <t>Portal Transparência CGU</t>
        </is>
      </c>
    </row>
    <row r="83" ht="15.75" customHeight="1" s="42">
      <c r="B83" s="55" t="n">
        <v>2019</v>
      </c>
      <c r="C83" s="55" t="inlineStr">
        <is>
          <t>Ago</t>
        </is>
      </c>
      <c r="D83" s="55" t="inlineStr">
        <is>
          <t>Ago/2019</t>
        </is>
      </c>
      <c r="E83" s="56" t="n">
        <v>8895</v>
      </c>
      <c r="F83" s="56" t="n"/>
      <c r="G83" s="56" t="n"/>
      <c r="H83" s="56" t="n"/>
      <c r="I83" s="56" t="n">
        <v>0</v>
      </c>
      <c r="J83" s="56" t="n">
        <v>8895</v>
      </c>
      <c r="K83" s="55">
        <f>IF(E83&lt;&gt;E82,IF(E83="","",IF(E82="","","⬆ PROGRESSÃO")),"—")</f>
        <v/>
      </c>
      <c r="L83" s="56" t="inlineStr">
        <is>
          <t>Classe S, Padrão V</t>
        </is>
      </c>
      <c r="M83" s="56" t="inlineStr">
        <is>
          <t>Portal Transparência CGU</t>
        </is>
      </c>
    </row>
    <row r="84" ht="15.75" customHeight="1" s="42">
      <c r="B84" s="53" t="n">
        <v>2019</v>
      </c>
      <c r="C84" s="53" t="inlineStr">
        <is>
          <t>Set</t>
        </is>
      </c>
      <c r="D84" s="53" t="inlineStr">
        <is>
          <t>Set/2019</t>
        </is>
      </c>
      <c r="E84" s="54" t="n">
        <v>9110.379999999999</v>
      </c>
      <c r="F84" s="54" t="n"/>
      <c r="G84" s="54" t="n"/>
      <c r="H84" s="54" t="n"/>
      <c r="I84" s="54" t="n">
        <v>0</v>
      </c>
      <c r="J84" s="54" t="n">
        <v>9110.379999999999</v>
      </c>
      <c r="K84" s="53">
        <f>IF(E84&lt;&gt;E83,IF(E84="","",IF(E83="","","⬆ PROGRESSÃO")),"—")</f>
        <v/>
      </c>
      <c r="L84" s="54" t="inlineStr">
        <is>
          <t>Classe S, Padrão V</t>
        </is>
      </c>
      <c r="M84" s="54" t="inlineStr">
        <is>
          <t>Portal Transparência CGU</t>
        </is>
      </c>
    </row>
    <row r="85" ht="15.75" customHeight="1" s="42">
      <c r="B85" s="55" t="n">
        <v>2019</v>
      </c>
      <c r="C85" s="55" t="inlineStr">
        <is>
          <t>Out</t>
        </is>
      </c>
      <c r="D85" s="55" t="inlineStr">
        <is>
          <t>Out/2019</t>
        </is>
      </c>
      <c r="E85" s="56" t="n">
        <v>9110.379999999999</v>
      </c>
      <c r="F85" s="56" t="n"/>
      <c r="G85" s="56" t="n"/>
      <c r="H85" s="56" t="n"/>
      <c r="I85" s="56" t="n">
        <v>0</v>
      </c>
      <c r="J85" s="56" t="n">
        <v>9110.379999999999</v>
      </c>
      <c r="K85" s="55">
        <f>IF(E85&lt;&gt;E84,IF(E85="","",IF(E84="","","⬆ PROGRESSÃO")),"—")</f>
        <v/>
      </c>
      <c r="L85" s="56" t="inlineStr">
        <is>
          <t>Classe S, Padrão V</t>
        </is>
      </c>
      <c r="M85" s="56" t="inlineStr">
        <is>
          <t>Portal Transparência CGU</t>
        </is>
      </c>
    </row>
    <row r="86" ht="15.75" customHeight="1" s="42">
      <c r="B86" s="53" t="n">
        <v>2019</v>
      </c>
      <c r="C86" s="53" t="inlineStr">
        <is>
          <t>Nov</t>
        </is>
      </c>
      <c r="D86" s="53" t="inlineStr">
        <is>
          <t>Nov/2019</t>
        </is>
      </c>
      <c r="E86" s="54" t="n">
        <v>9110.379999999999</v>
      </c>
      <c r="F86" s="54" t="n"/>
      <c r="G86" s="54" t="n"/>
      <c r="H86" s="54" t="n"/>
      <c r="I86" s="54" t="n">
        <v>9110.379999999999</v>
      </c>
      <c r="J86" s="54" t="n">
        <v>18220.76</v>
      </c>
      <c r="K86" s="53">
        <f>IF(E86&lt;&gt;E85,IF(E86="","",IF(E85="","","⬆ PROGRESSÃO")),"—")</f>
        <v/>
      </c>
      <c r="L86" s="54" t="inlineStr">
        <is>
          <t>Classe S, Padrão V</t>
        </is>
      </c>
      <c r="M86" s="54" t="inlineStr">
        <is>
          <t>Portal Transparência CGU</t>
        </is>
      </c>
    </row>
    <row r="87" ht="15.75" customHeight="1" s="42">
      <c r="B87" s="55" t="n">
        <v>2019</v>
      </c>
      <c r="C87" s="55" t="inlineStr">
        <is>
          <t>Dez</t>
        </is>
      </c>
      <c r="D87" s="55" t="inlineStr">
        <is>
          <t>Dez/2019</t>
        </is>
      </c>
      <c r="E87" s="56" t="n">
        <v>9110.379999999999</v>
      </c>
      <c r="F87" s="56" t="n"/>
      <c r="G87" s="56" t="n"/>
      <c r="H87" s="56" t="n"/>
      <c r="I87" s="56" t="n">
        <v>7649.48</v>
      </c>
      <c r="J87" s="56" t="n">
        <v>16759.86</v>
      </c>
      <c r="K87" s="55">
        <f>IF(E87&lt;&gt;E86,IF(E87="","",IF(E86="","","⬆ PROGRESSÃO")),"—")</f>
        <v/>
      </c>
      <c r="L87" s="56" t="inlineStr">
        <is>
          <t>Classe S, Padrão V</t>
        </is>
      </c>
      <c r="M87" s="56" t="inlineStr">
        <is>
          <t>Portal Transparência CGU</t>
        </is>
      </c>
    </row>
    <row r="88" ht="15.75" customHeight="1" s="42">
      <c r="B88" s="53" t="n">
        <v>2020</v>
      </c>
      <c r="C88" s="53" t="inlineStr">
        <is>
          <t>Jan</t>
        </is>
      </c>
      <c r="D88" s="53" t="inlineStr">
        <is>
          <t>Jan/2020</t>
        </is>
      </c>
      <c r="E88" s="54" t="n">
        <v>9110.379999999999</v>
      </c>
      <c r="F88" s="54" t="n"/>
      <c r="G88" s="54" t="n"/>
      <c r="H88" s="54" t="n"/>
      <c r="I88" s="54" t="n">
        <v>0</v>
      </c>
      <c r="J88" s="54" t="n">
        <v>9110.379999999999</v>
      </c>
      <c r="K88" s="53">
        <f>IF(E88&lt;&gt;E87,IF(E88="","",IF(E87="","","⬆ PROGRESSÃO")),"—")</f>
        <v/>
      </c>
      <c r="L88" s="54" t="inlineStr">
        <is>
          <t>Classe S, Padrão V</t>
        </is>
      </c>
      <c r="M88" s="54" t="inlineStr">
        <is>
          <t>Portal Transparência CGU</t>
        </is>
      </c>
    </row>
    <row r="89" ht="15.75" customHeight="1" s="42">
      <c r="B89" s="55" t="n">
        <v>2020</v>
      </c>
      <c r="C89" s="55" t="inlineStr">
        <is>
          <t>Fev</t>
        </is>
      </c>
      <c r="D89" s="55" t="inlineStr">
        <is>
          <t>Fev/2020</t>
        </is>
      </c>
      <c r="E89" s="56" t="n">
        <v>9110.379999999999</v>
      </c>
      <c r="F89" s="56" t="n"/>
      <c r="G89" s="56" t="n"/>
      <c r="H89" s="56" t="n"/>
      <c r="I89" s="56" t="n">
        <v>3392.5</v>
      </c>
      <c r="J89" s="56" t="n">
        <v>12502.88</v>
      </c>
      <c r="K89" s="55">
        <f>IF(E89&lt;&gt;E88,IF(E89="","",IF(E88="","","⬆ PROGRESSÃO")),"—")</f>
        <v/>
      </c>
      <c r="L89" s="56" t="inlineStr">
        <is>
          <t>Classe S, Padrão V</t>
        </is>
      </c>
      <c r="M89" s="56" t="inlineStr">
        <is>
          <t>Portal Transparência CGU</t>
        </is>
      </c>
    </row>
    <row r="90" ht="15.75" customHeight="1" s="42">
      <c r="B90" s="53" t="n">
        <v>2020</v>
      </c>
      <c r="C90" s="53" t="inlineStr">
        <is>
          <t>Mar</t>
        </is>
      </c>
      <c r="D90" s="53" t="inlineStr">
        <is>
          <t>Mar/2020</t>
        </is>
      </c>
      <c r="E90" s="54" t="n">
        <v>9110.379999999999</v>
      </c>
      <c r="F90" s="54" t="n"/>
      <c r="G90" s="54" t="n"/>
      <c r="H90" s="54" t="n"/>
      <c r="I90" s="54" t="n">
        <v>4945</v>
      </c>
      <c r="J90" s="54" t="n">
        <v>14055.38</v>
      </c>
      <c r="K90" s="53">
        <f>IF(E90&lt;&gt;E89,IF(E90="","",IF(E89="","","⬆ PROGRESSÃO")),"—")</f>
        <v/>
      </c>
      <c r="L90" s="54" t="inlineStr">
        <is>
          <t>Classe S, Padrão V</t>
        </is>
      </c>
      <c r="M90" s="54" t="inlineStr">
        <is>
          <t>Portal Transparência CGU</t>
        </is>
      </c>
    </row>
    <row r="91" ht="15.75" customHeight="1" s="42">
      <c r="B91" s="55" t="n">
        <v>2020</v>
      </c>
      <c r="C91" s="55" t="inlineStr">
        <is>
          <t>Abr</t>
        </is>
      </c>
      <c r="D91" s="55" t="inlineStr">
        <is>
          <t>Abr/2020</t>
        </is>
      </c>
      <c r="E91" s="56" t="n">
        <v>9110.379999999999</v>
      </c>
      <c r="F91" s="56" t="n"/>
      <c r="G91" s="56" t="n"/>
      <c r="H91" s="56" t="n"/>
      <c r="I91" s="56" t="n">
        <v>0</v>
      </c>
      <c r="J91" s="56" t="n">
        <v>9110.379999999999</v>
      </c>
      <c r="K91" s="55">
        <f>IF(E91&lt;&gt;E90,IF(E91="","",IF(E90="","","⬆ PROGRESSÃO")),"—")</f>
        <v/>
      </c>
      <c r="L91" s="56" t="inlineStr">
        <is>
          <t>Classe S, Padrão V</t>
        </is>
      </c>
      <c r="M91" s="56" t="inlineStr">
        <is>
          <t>Portal Transparência CGU</t>
        </is>
      </c>
    </row>
    <row r="92" ht="15.75" customHeight="1" s="42">
      <c r="B92" s="53" t="n">
        <v>2020</v>
      </c>
      <c r="C92" s="53" t="inlineStr">
        <is>
          <t>Mai</t>
        </is>
      </c>
      <c r="D92" s="53" t="inlineStr">
        <is>
          <t>Mai/2020</t>
        </is>
      </c>
      <c r="E92" s="54" t="n">
        <v>9110.379999999999</v>
      </c>
      <c r="F92" s="54" t="n"/>
      <c r="G92" s="54" t="n"/>
      <c r="H92" s="54" t="n"/>
      <c r="I92" s="54" t="n">
        <v>12362.5</v>
      </c>
      <c r="J92" s="54" t="n">
        <v>21472.88</v>
      </c>
      <c r="K92" s="53">
        <f>IF(E92&lt;&gt;E91,IF(E92="","",IF(E91="","","⬆ PROGRESSÃO")),"—")</f>
        <v/>
      </c>
      <c r="L92" s="54" t="inlineStr">
        <is>
          <t>Classe S, Padrão V</t>
        </is>
      </c>
      <c r="M92" s="54" t="inlineStr">
        <is>
          <t>Portal Transparência CGU</t>
        </is>
      </c>
    </row>
    <row r="93" ht="15.75" customHeight="1" s="42">
      <c r="B93" s="55" t="n">
        <v>2020</v>
      </c>
      <c r="C93" s="55" t="inlineStr">
        <is>
          <t>Jun</t>
        </is>
      </c>
      <c r="D93" s="55" t="inlineStr">
        <is>
          <t>Jun/2020</t>
        </is>
      </c>
      <c r="E93" s="56" t="n">
        <v>9110.379999999999</v>
      </c>
      <c r="F93" s="56" t="n"/>
      <c r="G93" s="56" t="n"/>
      <c r="H93" s="56" t="n"/>
      <c r="I93" s="56" t="n">
        <v>3162.5</v>
      </c>
      <c r="J93" s="56" t="n">
        <v>12272.88</v>
      </c>
      <c r="K93" s="55">
        <f>IF(E93&lt;&gt;E92,IF(E93="","",IF(E92="","","⬆ PROGRESSÃO")),"—")</f>
        <v/>
      </c>
      <c r="L93" s="56" t="inlineStr">
        <is>
          <t>Classe S, Padrão V</t>
        </is>
      </c>
      <c r="M93" s="56" t="inlineStr">
        <is>
          <t>Portal Transparência CGU</t>
        </is>
      </c>
    </row>
    <row r="94" ht="15.75" customHeight="1" s="42">
      <c r="B94" s="53" t="n">
        <v>2020</v>
      </c>
      <c r="C94" s="53" t="inlineStr">
        <is>
          <t>Jul</t>
        </is>
      </c>
      <c r="D94" s="53" t="inlineStr">
        <is>
          <t>Jul/2020</t>
        </is>
      </c>
      <c r="E94" s="54" t="n">
        <v>9110.379999999999</v>
      </c>
      <c r="F94" s="54" t="n"/>
      <c r="G94" s="54" t="n"/>
      <c r="H94" s="54" t="n"/>
      <c r="I94" s="54" t="n">
        <v>977.5</v>
      </c>
      <c r="J94" s="54" t="n">
        <v>10087.88</v>
      </c>
      <c r="K94" s="53">
        <f>IF(E94&lt;&gt;E93,IF(E94="","",IF(E93="","","⬆ PROGRESSÃO")),"—")</f>
        <v/>
      </c>
      <c r="L94" s="54" t="inlineStr">
        <is>
          <t>Classe S, Padrão V</t>
        </is>
      </c>
      <c r="M94" s="54" t="inlineStr">
        <is>
          <t>Portal Transparência CGU</t>
        </is>
      </c>
    </row>
    <row r="95" ht="15.75" customHeight="1" s="42">
      <c r="B95" s="55" t="n">
        <v>2020</v>
      </c>
      <c r="C95" s="55" t="inlineStr">
        <is>
          <t>Ago</t>
        </is>
      </c>
      <c r="D95" s="55" t="inlineStr">
        <is>
          <t>Ago/2020</t>
        </is>
      </c>
      <c r="E95" s="56" t="n">
        <v>9110.379999999999</v>
      </c>
      <c r="F95" s="56" t="n"/>
      <c r="G95" s="56" t="n"/>
      <c r="H95" s="56" t="n"/>
      <c r="I95" s="56" t="n">
        <v>1265</v>
      </c>
      <c r="J95" s="56" t="n">
        <v>10375.38</v>
      </c>
      <c r="K95" s="55">
        <f>IF(E95&lt;&gt;E94,IF(E95="","",IF(E94="","","⬆ PROGRESSÃO")),"—")</f>
        <v/>
      </c>
      <c r="L95" s="56" t="inlineStr">
        <is>
          <t>Classe S, Padrão V</t>
        </is>
      </c>
      <c r="M95" s="56" t="inlineStr">
        <is>
          <t>Portal Transparência CGU</t>
        </is>
      </c>
    </row>
    <row r="96" ht="15.75" customHeight="1" s="42">
      <c r="B96" s="53" t="n">
        <v>2020</v>
      </c>
      <c r="C96" s="53" t="inlineStr">
        <is>
          <t>Set</t>
        </is>
      </c>
      <c r="D96" s="53" t="inlineStr">
        <is>
          <t>Set/2020</t>
        </is>
      </c>
      <c r="E96" s="54" t="n">
        <v>9331.51</v>
      </c>
      <c r="F96" s="54" t="n"/>
      <c r="G96" s="54" t="n"/>
      <c r="H96" s="54" t="n"/>
      <c r="I96" s="54" t="n">
        <v>57.5</v>
      </c>
      <c r="J96" s="54" t="n">
        <v>9389.01</v>
      </c>
      <c r="K96" s="53">
        <f>IF(E96&lt;&gt;E95,IF(E96="","",IF(E95="","","⬆ PROGRESSÃO")),"—")</f>
        <v/>
      </c>
      <c r="L96" s="54" t="inlineStr">
        <is>
          <t>Classe S, Padrão V</t>
        </is>
      </c>
      <c r="M96" s="54" t="inlineStr">
        <is>
          <t>Portal Transparência CGU</t>
        </is>
      </c>
    </row>
    <row r="97" ht="15.75" customHeight="1" s="42">
      <c r="B97" s="55" t="n">
        <v>2020</v>
      </c>
      <c r="C97" s="55" t="inlineStr">
        <is>
          <t>Out</t>
        </is>
      </c>
      <c r="D97" s="55" t="inlineStr">
        <is>
          <t>Out/2020</t>
        </is>
      </c>
      <c r="E97" s="56" t="n">
        <v>9331.51</v>
      </c>
      <c r="F97" s="56" t="n"/>
      <c r="G97" s="56" t="n"/>
      <c r="H97" s="56" t="n"/>
      <c r="I97" s="56" t="n">
        <v>115</v>
      </c>
      <c r="J97" s="56" t="n">
        <v>9446.51</v>
      </c>
      <c r="K97" s="55">
        <f>IF(E97&lt;&gt;E96,IF(E97="","",IF(E96="","","⬆ PROGRESSÃO")),"—")</f>
        <v/>
      </c>
      <c r="L97" s="56" t="inlineStr">
        <is>
          <t>Classe S, Padrão V</t>
        </is>
      </c>
      <c r="M97" s="56" t="inlineStr">
        <is>
          <t>Portal Transparência CGU</t>
        </is>
      </c>
    </row>
    <row r="98" ht="15.75" customHeight="1" s="42">
      <c r="B98" s="53" t="n">
        <v>2020</v>
      </c>
      <c r="C98" s="53" t="inlineStr">
        <is>
          <t>Nov</t>
        </is>
      </c>
      <c r="D98" s="53" t="inlineStr">
        <is>
          <t>Nov/2020</t>
        </is>
      </c>
      <c r="E98" s="54" t="n">
        <v>9331.51</v>
      </c>
      <c r="F98" s="54" t="n"/>
      <c r="G98" s="54" t="n"/>
      <c r="H98" s="54" t="n"/>
      <c r="I98" s="54" t="n">
        <v>9906.51</v>
      </c>
      <c r="J98" s="54" t="n">
        <v>19238.02</v>
      </c>
      <c r="K98" s="53">
        <f>IF(E98&lt;&gt;E97,IF(E98="","",IF(E97="","","⬆ PROGRESSÃO")),"—")</f>
        <v/>
      </c>
      <c r="L98" s="54" t="inlineStr">
        <is>
          <t>Classe S, Padrão V</t>
        </is>
      </c>
      <c r="M98" s="54" t="inlineStr">
        <is>
          <t>Portal Transparência CGU</t>
        </is>
      </c>
    </row>
    <row r="99" ht="15.75" customHeight="1" s="42">
      <c r="B99" s="55" t="n">
        <v>2020</v>
      </c>
      <c r="C99" s="55" t="inlineStr">
        <is>
          <t>Dez</t>
        </is>
      </c>
      <c r="D99" s="55" t="inlineStr">
        <is>
          <t>Dez/2020</t>
        </is>
      </c>
      <c r="E99" s="56" t="n">
        <v>9331.51</v>
      </c>
      <c r="F99" s="56" t="n"/>
      <c r="G99" s="56" t="n"/>
      <c r="H99" s="56" t="n"/>
      <c r="I99" s="56" t="n">
        <v>12146.25</v>
      </c>
      <c r="J99" s="56" t="n">
        <v>21477.76</v>
      </c>
      <c r="K99" s="55">
        <f>IF(E99&lt;&gt;E98,IF(E99="","",IF(E98="","","⬆ PROGRESSÃO")),"—")</f>
        <v/>
      </c>
      <c r="L99" s="56" t="inlineStr">
        <is>
          <t>Classe S, Padrão V</t>
        </is>
      </c>
      <c r="M99" s="56" t="inlineStr">
        <is>
          <t>Portal Transparência CGU</t>
        </is>
      </c>
    </row>
    <row r="100" ht="15.75" customHeight="1" s="42">
      <c r="B100" s="53" t="n">
        <v>2021</v>
      </c>
      <c r="C100" s="53" t="inlineStr">
        <is>
          <t>Jan</t>
        </is>
      </c>
      <c r="D100" s="53" t="inlineStr">
        <is>
          <t>Jan/2021</t>
        </is>
      </c>
      <c r="E100" s="54" t="n">
        <v>9331.51</v>
      </c>
      <c r="F100" s="54" t="n"/>
      <c r="G100" s="54" t="n"/>
      <c r="H100" s="54" t="n"/>
      <c r="I100" s="54" t="n">
        <v>862.5</v>
      </c>
      <c r="J100" s="54" t="n">
        <v>10194.01</v>
      </c>
      <c r="K100" s="53">
        <f>IF(E100&lt;&gt;E99,IF(E100="","",IF(E99="","","⬆ PROGRESSÃO")),"—")</f>
        <v/>
      </c>
      <c r="L100" s="54" t="inlineStr">
        <is>
          <t>Classe S, Padrão V</t>
        </is>
      </c>
      <c r="M100" s="54" t="inlineStr">
        <is>
          <t>Portal Transparência CGU</t>
        </is>
      </c>
    </row>
    <row r="101" ht="15.75" customHeight="1" s="42">
      <c r="B101" s="55" t="n">
        <v>2021</v>
      </c>
      <c r="C101" s="55" t="inlineStr">
        <is>
          <t>Fev</t>
        </is>
      </c>
      <c r="D101" s="55" t="inlineStr">
        <is>
          <t>Fev/2021</t>
        </is>
      </c>
      <c r="E101" s="56" t="n">
        <v>9331.51</v>
      </c>
      <c r="F101" s="56" t="n"/>
      <c r="G101" s="56" t="n"/>
      <c r="H101" s="56" t="n"/>
      <c r="I101" s="56" t="n">
        <v>862.5</v>
      </c>
      <c r="J101" s="56" t="n">
        <v>10194.01</v>
      </c>
      <c r="K101" s="55">
        <f>IF(E101&lt;&gt;E100,IF(E101="","",IF(E100="","","⬆ PROGRESSÃO")),"—")</f>
        <v/>
      </c>
      <c r="L101" s="56" t="inlineStr">
        <is>
          <t>Classe S, Padrão V</t>
        </is>
      </c>
      <c r="M101" s="56" t="inlineStr">
        <is>
          <t>Portal Transparência CGU</t>
        </is>
      </c>
    </row>
    <row r="102" ht="15.75" customHeight="1" s="42">
      <c r="B102" s="53" t="n">
        <v>2021</v>
      </c>
      <c r="C102" s="53" t="inlineStr">
        <is>
          <t>Mar</t>
        </is>
      </c>
      <c r="D102" s="53" t="inlineStr">
        <is>
          <t>Mar/2021</t>
        </is>
      </c>
      <c r="E102" s="54" t="n">
        <v>9331.51</v>
      </c>
      <c r="F102" s="54" t="n"/>
      <c r="G102" s="54" t="n"/>
      <c r="H102" s="54" t="n"/>
      <c r="I102" s="54" t="n">
        <v>1092.5</v>
      </c>
      <c r="J102" s="54" t="n">
        <v>10424.01</v>
      </c>
      <c r="K102" s="53">
        <f>IF(E102&lt;&gt;E101,IF(E102="","",IF(E101="","","⬆ PROGRESSÃO")),"—")</f>
        <v/>
      </c>
      <c r="L102" s="54" t="inlineStr">
        <is>
          <t>Classe S, Padrão V</t>
        </is>
      </c>
      <c r="M102" s="54" t="inlineStr">
        <is>
          <t>Portal Transparência CGU</t>
        </is>
      </c>
    </row>
    <row r="103" ht="15.75" customHeight="1" s="42">
      <c r="B103" s="55" t="n">
        <v>2021</v>
      </c>
      <c r="C103" s="55" t="inlineStr">
        <is>
          <t>Abr</t>
        </is>
      </c>
      <c r="D103" s="55" t="inlineStr">
        <is>
          <t>Abr/2021</t>
        </is>
      </c>
      <c r="E103" s="56" t="n">
        <v>9331.51</v>
      </c>
      <c r="F103" s="56" t="n"/>
      <c r="G103" s="56" t="n"/>
      <c r="H103" s="56" t="n"/>
      <c r="I103" s="56" t="n">
        <v>517.5</v>
      </c>
      <c r="J103" s="56" t="n">
        <v>9849.01</v>
      </c>
      <c r="K103" s="55">
        <f>IF(E103&lt;&gt;E102,IF(E103="","",IF(E102="","","⬆ PROGRESSÃO")),"—")</f>
        <v/>
      </c>
      <c r="L103" s="56" t="inlineStr">
        <is>
          <t>Classe S, Padrão V</t>
        </is>
      </c>
      <c r="M103" s="56" t="inlineStr">
        <is>
          <t>Portal Transparência CGU</t>
        </is>
      </c>
    </row>
    <row r="104" ht="15.75" customHeight="1" s="42">
      <c r="B104" s="53" t="n">
        <v>2021</v>
      </c>
      <c r="C104" s="53" t="inlineStr">
        <is>
          <t>Mai</t>
        </is>
      </c>
      <c r="D104" s="53" t="inlineStr">
        <is>
          <t>Mai/2021</t>
        </is>
      </c>
      <c r="E104" s="54" t="n">
        <v>9331.51</v>
      </c>
      <c r="F104" s="54" t="n"/>
      <c r="G104" s="54" t="n"/>
      <c r="H104" s="54" t="n"/>
      <c r="I104" s="54" t="n">
        <v>1035</v>
      </c>
      <c r="J104" s="54" t="n">
        <v>10366.51</v>
      </c>
      <c r="K104" s="53">
        <f>IF(E104&lt;&gt;E103,IF(E104="","",IF(E103="","","⬆ PROGRESSÃO")),"—")</f>
        <v/>
      </c>
      <c r="L104" s="54" t="inlineStr">
        <is>
          <t>Classe S, Padrão V</t>
        </is>
      </c>
      <c r="M104" s="54" t="inlineStr">
        <is>
          <t>Portal Transparência CGU</t>
        </is>
      </c>
    </row>
    <row r="105" ht="15.75" customHeight="1" s="42">
      <c r="B105" s="55" t="n">
        <v>2021</v>
      </c>
      <c r="C105" s="55" t="inlineStr">
        <is>
          <t>Jun</t>
        </is>
      </c>
      <c r="D105" s="55" t="inlineStr">
        <is>
          <t>Jun/2021</t>
        </is>
      </c>
      <c r="E105" s="56" t="n">
        <v>9331.51</v>
      </c>
      <c r="F105" s="56" t="n"/>
      <c r="G105" s="56" t="n"/>
      <c r="H105" s="56" t="n"/>
      <c r="I105" s="56" t="n">
        <v>0</v>
      </c>
      <c r="J105" s="56" t="n">
        <v>9331.51</v>
      </c>
      <c r="K105" s="55">
        <f>IF(E105&lt;&gt;E104,IF(E105="","",IF(E104="","","⬆ PROGRESSÃO")),"—")</f>
        <v/>
      </c>
      <c r="L105" s="56" t="inlineStr">
        <is>
          <t>Classe S, Padrão V</t>
        </is>
      </c>
      <c r="M105" s="56" t="inlineStr">
        <is>
          <t>Portal Transparência CGU</t>
        </is>
      </c>
    </row>
    <row r="106" ht="15.75" customHeight="1" s="42">
      <c r="B106" s="53" t="n">
        <v>2021</v>
      </c>
      <c r="C106" s="53" t="inlineStr">
        <is>
          <t>Jul</t>
        </is>
      </c>
      <c r="D106" s="53" t="inlineStr">
        <is>
          <t>Jul/2021</t>
        </is>
      </c>
      <c r="E106" s="54" t="n">
        <v>9331.51</v>
      </c>
      <c r="F106" s="54" t="n"/>
      <c r="G106" s="54" t="n"/>
      <c r="H106" s="54" t="n"/>
      <c r="I106" s="54" t="n">
        <v>8222.5</v>
      </c>
      <c r="J106" s="54" t="n">
        <v>17554.01</v>
      </c>
      <c r="K106" s="53">
        <f>IF(E106&lt;&gt;E105,IF(E106="","",IF(E105="","","⬆ PROGRESSÃO")),"—")</f>
        <v/>
      </c>
      <c r="L106" s="54" t="inlineStr">
        <is>
          <t>Classe S, Padrão V</t>
        </is>
      </c>
      <c r="M106" s="54" t="inlineStr">
        <is>
          <t>Portal Transparência CGU</t>
        </is>
      </c>
    </row>
    <row r="107" ht="15.75" customHeight="1" s="42">
      <c r="B107" s="55" t="n">
        <v>2021</v>
      </c>
      <c r="C107" s="55" t="inlineStr">
        <is>
          <t>Ago</t>
        </is>
      </c>
      <c r="D107" s="55" t="inlineStr">
        <is>
          <t>Ago/2021</t>
        </is>
      </c>
      <c r="E107" s="56" t="n">
        <v>9331.51</v>
      </c>
      <c r="F107" s="56" t="n"/>
      <c r="G107" s="56" t="n"/>
      <c r="H107" s="56" t="n"/>
      <c r="I107" s="56" t="n">
        <v>2472.5</v>
      </c>
      <c r="J107" s="56" t="n">
        <v>11804.01</v>
      </c>
      <c r="K107" s="55">
        <f>IF(E107&lt;&gt;E106,IF(E107="","",IF(E106="","","⬆ PROGRESSÃO")),"—")</f>
        <v/>
      </c>
      <c r="L107" s="56" t="inlineStr">
        <is>
          <t>Classe S, Padrão V</t>
        </is>
      </c>
      <c r="M107" s="56" t="inlineStr">
        <is>
          <t>Portal Transparência CGU</t>
        </is>
      </c>
    </row>
    <row r="108" ht="15.75" customHeight="1" s="42">
      <c r="B108" s="53" t="n">
        <v>2021</v>
      </c>
      <c r="C108" s="53" t="inlineStr">
        <is>
          <t>Set</t>
        </is>
      </c>
      <c r="D108" s="53" t="inlineStr">
        <is>
          <t>Set/2021</t>
        </is>
      </c>
      <c r="E108" s="54" t="n">
        <v>9560.66</v>
      </c>
      <c r="F108" s="54" t="n"/>
      <c r="G108" s="54" t="n"/>
      <c r="H108" s="54" t="n"/>
      <c r="I108" s="54" t="n">
        <v>402.5</v>
      </c>
      <c r="J108" s="54" t="n">
        <v>9963.16</v>
      </c>
      <c r="K108" s="53">
        <f>IF(E108&lt;&gt;E107,IF(E108="","",IF(E107="","","⬆ PROGRESSÃO")),"—")</f>
        <v/>
      </c>
      <c r="L108" s="54" t="inlineStr">
        <is>
          <t>Classe S, Padrão V</t>
        </is>
      </c>
      <c r="M108" s="54" t="inlineStr">
        <is>
          <t>Portal Transparência CGU</t>
        </is>
      </c>
    </row>
    <row r="109" ht="15.75" customHeight="1" s="42">
      <c r="B109" s="55" t="n">
        <v>2021</v>
      </c>
      <c r="C109" s="55" t="inlineStr">
        <is>
          <t>Out</t>
        </is>
      </c>
      <c r="D109" s="55" t="inlineStr">
        <is>
          <t>Out/2021</t>
        </is>
      </c>
      <c r="E109" s="56" t="n">
        <v>9560.66</v>
      </c>
      <c r="F109" s="56" t="n"/>
      <c r="G109" s="56" t="n"/>
      <c r="H109" s="56" t="n"/>
      <c r="I109" s="56" t="n">
        <v>0</v>
      </c>
      <c r="J109" s="56" t="n">
        <v>9560.66</v>
      </c>
      <c r="K109" s="55">
        <f>IF(E109&lt;&gt;E108,IF(E109="","",IF(E108="","","⬆ PROGRESSÃO")),"—")</f>
        <v/>
      </c>
      <c r="L109" s="56" t="inlineStr">
        <is>
          <t>Classe S, Padrão V</t>
        </is>
      </c>
      <c r="M109" s="56" t="inlineStr">
        <is>
          <t>Portal Transparência CGU</t>
        </is>
      </c>
    </row>
    <row r="110" ht="15.75" customHeight="1" s="42">
      <c r="B110" s="53" t="n">
        <v>2021</v>
      </c>
      <c r="C110" s="53" t="inlineStr">
        <is>
          <t>Nov</t>
        </is>
      </c>
      <c r="D110" s="53" t="inlineStr">
        <is>
          <t>Nov/2021</t>
        </is>
      </c>
      <c r="E110" s="54" t="n">
        <v>9560.66</v>
      </c>
      <c r="F110" s="54" t="n"/>
      <c r="G110" s="54" t="n"/>
      <c r="H110" s="54" t="n"/>
      <c r="I110" s="54" t="n">
        <v>9560.66</v>
      </c>
      <c r="J110" s="54" t="n">
        <v>19121.32</v>
      </c>
      <c r="K110" s="53">
        <f>IF(E110&lt;&gt;E109,IF(E110="","",IF(E109="","","⬆ PROGRESSÃO")),"—")</f>
        <v/>
      </c>
      <c r="L110" s="54" t="inlineStr">
        <is>
          <t>Classe S, Padrão V</t>
        </is>
      </c>
      <c r="M110" s="54" t="inlineStr">
        <is>
          <t>Portal Transparência CGU</t>
        </is>
      </c>
    </row>
    <row r="111" ht="15.75" customHeight="1" s="42">
      <c r="B111" s="55" t="n">
        <v>2021</v>
      </c>
      <c r="C111" s="55" t="inlineStr">
        <is>
          <t>Dez</t>
        </is>
      </c>
      <c r="D111" s="55" t="inlineStr">
        <is>
          <t>Dez/2021</t>
        </is>
      </c>
      <c r="E111" s="56" t="n">
        <v>9560.66</v>
      </c>
      <c r="F111" s="56" t="n"/>
      <c r="G111" s="56" t="n"/>
      <c r="H111" s="56" t="n"/>
      <c r="I111" s="56" t="n">
        <v>11244.71</v>
      </c>
      <c r="J111" s="56" t="n">
        <v>20805.37</v>
      </c>
      <c r="K111" s="55">
        <f>IF(E111&lt;&gt;E110,IF(E111="","",IF(E110="","","⬆ PROGRESSÃO")),"—")</f>
        <v/>
      </c>
      <c r="L111" s="56" t="inlineStr">
        <is>
          <t>Classe S, Padrão V</t>
        </is>
      </c>
      <c r="M111" s="56" t="inlineStr">
        <is>
          <t>Portal Transparência CGU</t>
        </is>
      </c>
    </row>
    <row r="112" ht="15.75" customHeight="1" s="42">
      <c r="B112" s="53" t="n">
        <v>2022</v>
      </c>
      <c r="C112" s="53" t="inlineStr">
        <is>
          <t>Jan</t>
        </is>
      </c>
      <c r="D112" s="53" t="inlineStr">
        <is>
          <t>Jan/2022</t>
        </is>
      </c>
      <c r="E112" s="54" t="n">
        <v>9560.66</v>
      </c>
      <c r="F112" s="54" t="n"/>
      <c r="G112" s="54" t="n"/>
      <c r="H112" s="54" t="n"/>
      <c r="I112" s="54" t="n">
        <v>0</v>
      </c>
      <c r="J112" s="54" t="n">
        <v>9560.66</v>
      </c>
      <c r="K112" s="53">
        <f>IF(E112&lt;&gt;E111,IF(E112="","",IF(E111="","","⬆ PROGRESSÃO")),"—")</f>
        <v/>
      </c>
      <c r="L112" s="54" t="inlineStr">
        <is>
          <t>Classe S, Padrão V</t>
        </is>
      </c>
      <c r="M112" s="54" t="inlineStr">
        <is>
          <t>Portal Transparência CGU</t>
        </is>
      </c>
    </row>
    <row r="113" ht="15.75" customHeight="1" s="42">
      <c r="B113" s="55" t="n">
        <v>2022</v>
      </c>
      <c r="C113" s="55" t="inlineStr">
        <is>
          <t>Fev</t>
        </is>
      </c>
      <c r="D113" s="55" t="inlineStr">
        <is>
          <t>Fev/2022</t>
        </is>
      </c>
      <c r="E113" s="56" t="n">
        <v>9560.66</v>
      </c>
      <c r="F113" s="56" t="n"/>
      <c r="G113" s="56" t="n"/>
      <c r="H113" s="56" t="n"/>
      <c r="I113" s="56" t="n">
        <v>0</v>
      </c>
      <c r="J113" s="56" t="n">
        <v>9560.66</v>
      </c>
      <c r="K113" s="55">
        <f>IF(E113&lt;&gt;E112,IF(E113="","",IF(E112="","","⬆ PROGRESSÃO")),"—")</f>
        <v/>
      </c>
      <c r="L113" s="56" t="inlineStr">
        <is>
          <t>Classe S, Padrão V</t>
        </is>
      </c>
      <c r="M113" s="56" t="inlineStr">
        <is>
          <t>Portal Transparência CGU</t>
        </is>
      </c>
    </row>
    <row r="114" ht="15.75" customHeight="1" s="42">
      <c r="B114" s="53" t="n">
        <v>2022</v>
      </c>
      <c r="C114" s="53" t="inlineStr">
        <is>
          <t>Mar</t>
        </is>
      </c>
      <c r="D114" s="53" t="inlineStr">
        <is>
          <t>Mar/2022</t>
        </is>
      </c>
      <c r="E114" s="54" t="n">
        <v>9560.66</v>
      </c>
      <c r="F114" s="54" t="n"/>
      <c r="G114" s="54" t="n"/>
      <c r="H114" s="54" t="n"/>
      <c r="I114" s="54" t="n">
        <v>0</v>
      </c>
      <c r="J114" s="54" t="n">
        <v>9560.66</v>
      </c>
      <c r="K114" s="53">
        <f>IF(E114&lt;&gt;E113,IF(E114="","",IF(E113="","","⬆ PROGRESSÃO")),"—")</f>
        <v/>
      </c>
      <c r="L114" s="54" t="inlineStr">
        <is>
          <t>Classe S, Padrão V</t>
        </is>
      </c>
      <c r="M114" s="54" t="inlineStr">
        <is>
          <t>Portal Transparência CGU</t>
        </is>
      </c>
    </row>
    <row r="115" ht="15.75" customHeight="1" s="42">
      <c r="B115" s="55" t="n">
        <v>2022</v>
      </c>
      <c r="C115" s="55" t="inlineStr">
        <is>
          <t>Abr</t>
        </is>
      </c>
      <c r="D115" s="55" t="inlineStr">
        <is>
          <t>Abr/2022</t>
        </is>
      </c>
      <c r="E115" s="56" t="n">
        <v>9560.65</v>
      </c>
      <c r="F115" s="56" t="n"/>
      <c r="G115" s="56" t="n"/>
      <c r="H115" s="56" t="n"/>
      <c r="I115" s="56" t="n">
        <v>57.5</v>
      </c>
      <c r="J115" s="56" t="n">
        <v>9618.15</v>
      </c>
      <c r="K115" s="55">
        <f>IF(E115&lt;&gt;E114,IF(E115="","",IF(E114="","","⬆ PROGRESSÃO")),"—")</f>
        <v/>
      </c>
      <c r="L115" s="56" t="inlineStr">
        <is>
          <t>Classe S, Padrão V</t>
        </is>
      </c>
      <c r="M115" s="56" t="inlineStr">
        <is>
          <t>Portal Transparência CGU</t>
        </is>
      </c>
    </row>
    <row r="116" ht="15.75" customHeight="1" s="42">
      <c r="B116" s="53" t="n">
        <v>2022</v>
      </c>
      <c r="C116" s="53" t="inlineStr">
        <is>
          <t>Mai</t>
        </is>
      </c>
      <c r="D116" s="53" t="inlineStr">
        <is>
          <t>Mai/2022</t>
        </is>
      </c>
      <c r="E116" s="54" t="n">
        <v>9560.65</v>
      </c>
      <c r="F116" s="54" t="n"/>
      <c r="G116" s="54" t="n"/>
      <c r="H116" s="54" t="n"/>
      <c r="I116" s="54" t="n">
        <v>172.5</v>
      </c>
      <c r="J116" s="54" t="n">
        <v>9733.15</v>
      </c>
      <c r="K116" s="53">
        <f>IF(E116&lt;&gt;E115,IF(E116="","",IF(E115="","","⬆ PROGRESSÃO")),"—")</f>
        <v/>
      </c>
      <c r="L116" s="54" t="inlineStr">
        <is>
          <t>Classe S, Padrão V</t>
        </is>
      </c>
      <c r="M116" s="54" t="inlineStr">
        <is>
          <t>Portal Transparência CGU</t>
        </is>
      </c>
    </row>
    <row r="117" ht="15.75" customHeight="1" s="42">
      <c r="B117" s="55" t="n">
        <v>2022</v>
      </c>
      <c r="C117" s="55" t="inlineStr">
        <is>
          <t>Jun</t>
        </is>
      </c>
      <c r="D117" s="55" t="inlineStr">
        <is>
          <t>Jun/2022</t>
        </is>
      </c>
      <c r="E117" s="56" t="n">
        <v>9560.65</v>
      </c>
      <c r="F117" s="56" t="n"/>
      <c r="G117" s="56" t="n"/>
      <c r="H117" s="56" t="n"/>
      <c r="I117" s="56" t="n">
        <v>9890</v>
      </c>
      <c r="J117" s="56" t="n">
        <v>19450.65</v>
      </c>
      <c r="K117" s="55">
        <f>IF(E117&lt;&gt;E116,IF(E117="","",IF(E116="","","⬆ PROGRESSÃO")),"—")</f>
        <v/>
      </c>
      <c r="L117" s="56" t="inlineStr">
        <is>
          <t>Classe S, Padrão V</t>
        </is>
      </c>
      <c r="M117" s="56" t="inlineStr">
        <is>
          <t>Portal Transparência CGU</t>
        </is>
      </c>
    </row>
    <row r="118" ht="15.75" customHeight="1" s="42">
      <c r="B118" s="53" t="n">
        <v>2022</v>
      </c>
      <c r="C118" s="53" t="inlineStr">
        <is>
          <t>Jul</t>
        </is>
      </c>
      <c r="D118" s="53" t="inlineStr">
        <is>
          <t>Jul/2022</t>
        </is>
      </c>
      <c r="E118" s="54" t="n">
        <v>9560.65</v>
      </c>
      <c r="F118" s="54" t="n"/>
      <c r="G118" s="54" t="n"/>
      <c r="H118" s="54" t="n"/>
      <c r="I118" s="54" t="n">
        <v>7015</v>
      </c>
      <c r="J118" s="54" t="n">
        <v>16575.65</v>
      </c>
      <c r="K118" s="53">
        <f>IF(E118&lt;&gt;E117,IF(E118="","",IF(E117="","","⬆ PROGRESSÃO")),"—")</f>
        <v/>
      </c>
      <c r="L118" s="54" t="inlineStr">
        <is>
          <t>Classe S, Padrão V</t>
        </is>
      </c>
      <c r="M118" s="54" t="inlineStr">
        <is>
          <t>Portal Transparência CGU</t>
        </is>
      </c>
    </row>
    <row r="119" ht="15.75" customHeight="1" s="42">
      <c r="B119" s="55" t="n">
        <v>2022</v>
      </c>
      <c r="C119" s="55" t="inlineStr">
        <is>
          <t>Ago</t>
        </is>
      </c>
      <c r="D119" s="55" t="inlineStr">
        <is>
          <t>Ago/2022</t>
        </is>
      </c>
      <c r="E119" s="56" t="n">
        <v>9560.65</v>
      </c>
      <c r="F119" s="56" t="n"/>
      <c r="G119" s="56" t="n"/>
      <c r="H119" s="56" t="n"/>
      <c r="I119" s="56" t="n">
        <v>10120</v>
      </c>
      <c r="J119" s="56" t="n">
        <v>19680.65</v>
      </c>
      <c r="K119" s="55">
        <f>IF(E119&lt;&gt;E118,IF(E119="","",IF(E118="","","⬆ PROGRESSÃO")),"—")</f>
        <v/>
      </c>
      <c r="L119" s="56" t="inlineStr">
        <is>
          <t>Classe S, Padrão V</t>
        </is>
      </c>
      <c r="M119" s="56" t="inlineStr">
        <is>
          <t>Portal Transparência CGU</t>
        </is>
      </c>
    </row>
    <row r="120" ht="15.75" customHeight="1" s="42">
      <c r="B120" s="53" t="n">
        <v>2022</v>
      </c>
      <c r="C120" s="53" t="inlineStr">
        <is>
          <t>Set</t>
        </is>
      </c>
      <c r="D120" s="53" t="inlineStr">
        <is>
          <t>Set/2022</t>
        </is>
      </c>
      <c r="E120" s="54" t="n">
        <v>9881.129999999999</v>
      </c>
      <c r="F120" s="54" t="n"/>
      <c r="G120" s="54" t="n"/>
      <c r="H120" s="54" t="n"/>
      <c r="I120" s="54" t="n">
        <v>11615</v>
      </c>
      <c r="J120" s="54" t="n">
        <v>21496.13</v>
      </c>
      <c r="K120" s="53">
        <f>IF(E120&lt;&gt;E119,IF(E120="","",IF(E119="","","⬆ PROGRESSÃO")),"—")</f>
        <v/>
      </c>
      <c r="L120" s="54" t="inlineStr">
        <is>
          <t>Classe S, Padrão V</t>
        </is>
      </c>
      <c r="M120" s="54" t="inlineStr">
        <is>
          <t>Portal Transparência CGU</t>
        </is>
      </c>
    </row>
    <row r="121" ht="15.75" customHeight="1" s="42">
      <c r="B121" s="55" t="n">
        <v>2022</v>
      </c>
      <c r="C121" s="55" t="inlineStr">
        <is>
          <t>Out</t>
        </is>
      </c>
      <c r="D121" s="55" t="inlineStr">
        <is>
          <t>Out/2022</t>
        </is>
      </c>
      <c r="E121" s="56" t="n">
        <v>9881.129999999999</v>
      </c>
      <c r="F121" s="56" t="n"/>
      <c r="G121" s="56" t="n"/>
      <c r="H121" s="56" t="n"/>
      <c r="I121" s="56" t="n">
        <v>6555</v>
      </c>
      <c r="J121" s="56" t="n">
        <v>16436.13</v>
      </c>
      <c r="K121" s="55">
        <f>IF(E121&lt;&gt;E120,IF(E121="","",IF(E120="","","⬆ PROGRESSÃO")),"—")</f>
        <v/>
      </c>
      <c r="L121" s="56" t="inlineStr">
        <is>
          <t>Classe S, Padrão V</t>
        </is>
      </c>
      <c r="M121" s="56" t="inlineStr">
        <is>
          <t>Portal Transparência CGU</t>
        </is>
      </c>
    </row>
    <row r="122" ht="15.75" customHeight="1" s="42">
      <c r="B122" s="53" t="n">
        <v>2022</v>
      </c>
      <c r="C122" s="53" t="inlineStr">
        <is>
          <t>Nov</t>
        </is>
      </c>
      <c r="D122" s="53" t="inlineStr">
        <is>
          <t>Nov/2022</t>
        </is>
      </c>
      <c r="E122" s="54" t="n">
        <v>9881.129999999999</v>
      </c>
      <c r="F122" s="54" t="n"/>
      <c r="G122" s="54" t="n"/>
      <c r="H122" s="54" t="n"/>
      <c r="I122" s="54" t="n">
        <v>9881.129999999999</v>
      </c>
      <c r="J122" s="54" t="n">
        <v>19762.26</v>
      </c>
      <c r="K122" s="53">
        <f>IF(E122&lt;&gt;E121,IF(E122="","",IF(E121="","","⬆ PROGRESSÃO")),"—")</f>
        <v/>
      </c>
      <c r="L122" s="54" t="inlineStr">
        <is>
          <t>Classe S, Padrão V</t>
        </is>
      </c>
      <c r="M122" s="54" t="inlineStr">
        <is>
          <t>Portal Transparência CGU</t>
        </is>
      </c>
    </row>
    <row r="123" ht="15.75" customHeight="1" s="42">
      <c r="B123" s="55" t="n">
        <v>2022</v>
      </c>
      <c r="C123" s="55" t="inlineStr">
        <is>
          <t>Dez</t>
        </is>
      </c>
      <c r="D123" s="55" t="inlineStr">
        <is>
          <t>Dez/2022</t>
        </is>
      </c>
      <c r="E123" s="56" t="n">
        <v>9881.129999999999</v>
      </c>
      <c r="F123" s="56" t="n"/>
      <c r="G123" s="56" t="n"/>
      <c r="H123" s="56" t="n"/>
      <c r="I123" s="56" t="n">
        <v>19331.77</v>
      </c>
      <c r="J123" s="56" t="n">
        <v>29212.9</v>
      </c>
      <c r="K123" s="55">
        <f>IF(E123&lt;&gt;E122,IF(E123="","",IF(E122="","","⬆ PROGRESSÃO")),"—")</f>
        <v/>
      </c>
      <c r="L123" s="56" t="inlineStr">
        <is>
          <t>Classe S, Padrão V</t>
        </is>
      </c>
      <c r="M123" s="56" t="inlineStr">
        <is>
          <t>Portal Transparência CGU</t>
        </is>
      </c>
    </row>
    <row r="124" ht="15.75" customHeight="1" s="42">
      <c r="B124" s="53" t="n">
        <v>2023</v>
      </c>
      <c r="C124" s="53" t="inlineStr">
        <is>
          <t>Jan</t>
        </is>
      </c>
      <c r="D124" s="53" t="inlineStr">
        <is>
          <t>Jan/2023</t>
        </is>
      </c>
      <c r="E124" s="54" t="n">
        <v>9881.129999999999</v>
      </c>
      <c r="F124" s="54" t="n"/>
      <c r="G124" s="54" t="n"/>
      <c r="H124" s="54" t="n"/>
      <c r="I124" s="54" t="n">
        <v>14030</v>
      </c>
      <c r="J124" s="54" t="n">
        <v>23911.13</v>
      </c>
      <c r="K124" s="53">
        <f>IF(E124&lt;&gt;E123,IF(E124="","",IF(E123="","","⬆ PROGRESSÃO")),"—")</f>
        <v/>
      </c>
      <c r="L124" s="54" t="inlineStr">
        <is>
          <t>Classe S, Padrão V</t>
        </is>
      </c>
      <c r="M124" s="54" t="inlineStr">
        <is>
          <t>Portal Transparência CGU</t>
        </is>
      </c>
    </row>
    <row r="125" ht="15.75" customHeight="1" s="42">
      <c r="B125" s="55" t="n">
        <v>2023</v>
      </c>
      <c r="C125" s="55" t="inlineStr">
        <is>
          <t>Fev</t>
        </is>
      </c>
      <c r="D125" s="55" t="inlineStr">
        <is>
          <t>Fev/2023</t>
        </is>
      </c>
      <c r="E125" s="56" t="n">
        <v>9881.129999999999</v>
      </c>
      <c r="F125" s="56" t="n"/>
      <c r="G125" s="56" t="n"/>
      <c r="H125" s="56" t="n"/>
      <c r="I125" s="56" t="n">
        <v>0</v>
      </c>
      <c r="J125" s="56" t="n">
        <v>9881.129999999999</v>
      </c>
      <c r="K125" s="55">
        <f>IF(E125&lt;&gt;E124,IF(E125="","",IF(E124="","","⬆ PROGRESSÃO")),"—")</f>
        <v/>
      </c>
      <c r="L125" s="56" t="inlineStr">
        <is>
          <t>Classe S, Padrão V</t>
        </is>
      </c>
      <c r="M125" s="56" t="inlineStr">
        <is>
          <t>Portal Transparência CGU</t>
        </is>
      </c>
    </row>
    <row r="126" ht="15.75" customHeight="1" s="42">
      <c r="B126" s="53" t="n">
        <v>2023</v>
      </c>
      <c r="C126" s="53" t="inlineStr">
        <is>
          <t>Mar</t>
        </is>
      </c>
      <c r="D126" s="53" t="inlineStr">
        <is>
          <t>Mar/2023</t>
        </is>
      </c>
      <c r="E126" s="54" t="n">
        <v>9881.129999999999</v>
      </c>
      <c r="F126" s="54" t="n"/>
      <c r="G126" s="54" t="n"/>
      <c r="H126" s="54" t="n"/>
      <c r="I126" s="54" t="n">
        <v>0</v>
      </c>
      <c r="J126" s="54" t="n">
        <v>9881.129999999999</v>
      </c>
      <c r="K126" s="53">
        <f>IF(E126&lt;&gt;E125,IF(E126="","",IF(E125="","","⬆ PROGRESSÃO")),"—")</f>
        <v/>
      </c>
      <c r="L126" s="54" t="inlineStr">
        <is>
          <t>Classe S, Padrão V</t>
        </is>
      </c>
      <c r="M126" s="54" t="inlineStr">
        <is>
          <t>Portal Transparência CGU</t>
        </is>
      </c>
    </row>
    <row r="127" ht="15.75" customHeight="1" s="42">
      <c r="B127" s="55" t="n">
        <v>2023</v>
      </c>
      <c r="C127" s="55" t="inlineStr">
        <is>
          <t>Abr</t>
        </is>
      </c>
      <c r="D127" s="55" t="inlineStr">
        <is>
          <t>Abr/2023</t>
        </is>
      </c>
      <c r="E127" s="56" t="n">
        <v>9881.129999999999</v>
      </c>
      <c r="F127" s="56" t="n"/>
      <c r="G127" s="56" t="n"/>
      <c r="H127" s="56" t="n"/>
      <c r="I127" s="56" t="n">
        <v>0</v>
      </c>
      <c r="J127" s="56" t="n">
        <v>9881.129999999999</v>
      </c>
      <c r="K127" s="55">
        <f>IF(E127&lt;&gt;E126,IF(E127="","",IF(E126="","","⬆ PROGRESSÃO")),"—")</f>
        <v/>
      </c>
      <c r="L127" s="56" t="inlineStr">
        <is>
          <t>Classe S, Padrão V</t>
        </is>
      </c>
      <c r="M127" s="56" t="inlineStr">
        <is>
          <t>Portal Transparência CGU</t>
        </is>
      </c>
    </row>
    <row r="128" ht="15.75" customHeight="1" s="42">
      <c r="B128" s="53" t="n">
        <v>2023</v>
      </c>
      <c r="C128" s="53" t="inlineStr">
        <is>
          <t>Mai</t>
        </is>
      </c>
      <c r="D128" s="53" t="inlineStr">
        <is>
          <t>Mai/2023</t>
        </is>
      </c>
      <c r="E128" s="54" t="n">
        <v>10769.98</v>
      </c>
      <c r="F128" s="54" t="n"/>
      <c r="G128" s="54" t="n"/>
      <c r="H128" s="54" t="n"/>
      <c r="I128" s="54" t="n">
        <v>0</v>
      </c>
      <c r="J128" s="54" t="n">
        <v>10769.98</v>
      </c>
      <c r="K128" s="53">
        <f>IF(E128&lt;&gt;E127,IF(E128="","",IF(E127="","","⬆ PROGRESSÃO")),"—")</f>
        <v/>
      </c>
      <c r="L128" s="54" t="inlineStr">
        <is>
          <t>Classe S, Padrão V</t>
        </is>
      </c>
      <c r="M128" s="54" t="inlineStr">
        <is>
          <t>Portal Transparência CGU</t>
        </is>
      </c>
    </row>
    <row r="129" ht="15.75" customHeight="1" s="42">
      <c r="B129" s="55" t="n">
        <v>2023</v>
      </c>
      <c r="C129" s="55" t="inlineStr">
        <is>
          <t>Jun</t>
        </is>
      </c>
      <c r="D129" s="55" t="inlineStr">
        <is>
          <t>Jun/2023</t>
        </is>
      </c>
      <c r="E129" s="56" t="n">
        <v>10769.98</v>
      </c>
      <c r="F129" s="56" t="n"/>
      <c r="G129" s="56" t="n"/>
      <c r="H129" s="56" t="n"/>
      <c r="I129" s="56" t="n">
        <v>0</v>
      </c>
      <c r="J129" s="56" t="n">
        <v>10769.98</v>
      </c>
      <c r="K129" s="55">
        <f>IF(E129&lt;&gt;E128,IF(E129="","",IF(E128="","","⬆ PROGRESSÃO")),"—")</f>
        <v/>
      </c>
      <c r="L129" s="56" t="inlineStr">
        <is>
          <t>Classe S, Padrão V</t>
        </is>
      </c>
      <c r="M129" s="56" t="inlineStr">
        <is>
          <t>Portal Transparência CGU</t>
        </is>
      </c>
    </row>
    <row r="130" ht="15.75" customHeight="1" s="42">
      <c r="B130" s="53" t="n">
        <v>2023</v>
      </c>
      <c r="C130" s="53" t="inlineStr">
        <is>
          <t>Jul</t>
        </is>
      </c>
      <c r="D130" s="53" t="inlineStr">
        <is>
          <t>Jul/2023</t>
        </is>
      </c>
      <c r="E130" s="54" t="n">
        <v>10769.98</v>
      </c>
      <c r="F130" s="54" t="n"/>
      <c r="G130" s="54" t="n"/>
      <c r="H130" s="54" t="n"/>
      <c r="I130" s="54" t="n">
        <v>0</v>
      </c>
      <c r="J130" s="54" t="n">
        <v>10769.98</v>
      </c>
      <c r="K130" s="53">
        <f>IF(E130&lt;&gt;E129,IF(E130="","",IF(E129="","","⬆ PROGRESSÃO")),"—")</f>
        <v/>
      </c>
      <c r="L130" s="54" t="inlineStr">
        <is>
          <t>Classe S, Padrão V</t>
        </is>
      </c>
      <c r="M130" s="54" t="inlineStr">
        <is>
          <t>Portal Transparência CGU</t>
        </is>
      </c>
    </row>
    <row r="131" ht="15.75" customHeight="1" s="42">
      <c r="B131" s="55" t="n">
        <v>2023</v>
      </c>
      <c r="C131" s="55" t="inlineStr">
        <is>
          <t>Ago</t>
        </is>
      </c>
      <c r="D131" s="55" t="inlineStr">
        <is>
          <t>Ago/2023</t>
        </is>
      </c>
      <c r="E131" s="56" t="n">
        <v>10769.98</v>
      </c>
      <c r="F131" s="56" t="n"/>
      <c r="G131" s="56" t="n"/>
      <c r="H131" s="56" t="n"/>
      <c r="I131" s="56" t="n">
        <v>0</v>
      </c>
      <c r="J131" s="56" t="n">
        <v>10769.98</v>
      </c>
      <c r="K131" s="55">
        <f>IF(E131&lt;&gt;E130,IF(E131="","",IF(E130="","","⬆ PROGRESSÃO")),"—")</f>
        <v/>
      </c>
      <c r="L131" s="56" t="inlineStr">
        <is>
          <t>Classe S, Padrão V</t>
        </is>
      </c>
      <c r="M131" s="56" t="inlineStr">
        <is>
          <t>Portal Transparência CGU</t>
        </is>
      </c>
    </row>
    <row r="132" ht="15.75" customHeight="1" s="42">
      <c r="B132" s="53" t="n">
        <v>2023</v>
      </c>
      <c r="C132" s="53" t="inlineStr">
        <is>
          <t>Set</t>
        </is>
      </c>
      <c r="D132" s="53" t="inlineStr">
        <is>
          <t>Set/2023</t>
        </is>
      </c>
      <c r="E132" s="54" t="n">
        <v>11038.84</v>
      </c>
      <c r="F132" s="54" t="n"/>
      <c r="G132" s="54" t="n"/>
      <c r="H132" s="54" t="n"/>
      <c r="I132" s="54" t="n">
        <v>9033.799999999999</v>
      </c>
      <c r="J132" s="54" t="n">
        <v>20072.64</v>
      </c>
      <c r="K132" s="53">
        <f>IF(E132&lt;&gt;E131,IF(E132="","",IF(E131="","","⬆ PROGRESSÃO")),"—")</f>
        <v/>
      </c>
      <c r="L132" s="54" t="inlineStr">
        <is>
          <t>Classe S, Padrão V</t>
        </is>
      </c>
      <c r="M132" s="54" t="inlineStr">
        <is>
          <t>Portal Transparência CGU</t>
        </is>
      </c>
    </row>
    <row r="133" ht="15.75" customHeight="1" s="42">
      <c r="B133" s="55" t="n">
        <v>2023</v>
      </c>
      <c r="C133" s="55" t="inlineStr">
        <is>
          <t>Out</t>
        </is>
      </c>
      <c r="D133" s="55" t="inlineStr">
        <is>
          <t>Out/2023</t>
        </is>
      </c>
      <c r="E133" s="56" t="n">
        <v>11038.84</v>
      </c>
      <c r="F133" s="56" t="n"/>
      <c r="G133" s="56" t="n"/>
      <c r="H133" s="56" t="n"/>
      <c r="I133" s="56" t="n">
        <v>5512.76</v>
      </c>
      <c r="J133" s="56" t="n">
        <v>16551.6</v>
      </c>
      <c r="K133" s="55">
        <f>IF(E133&lt;&gt;E132,IF(E133="","",IF(E132="","","⬆ PROGRESSÃO")),"—")</f>
        <v/>
      </c>
      <c r="L133" s="56" t="inlineStr">
        <is>
          <t>Classe S, Padrão V</t>
        </is>
      </c>
      <c r="M133" s="56" t="inlineStr">
        <is>
          <t>Portal Transparência CGU</t>
        </is>
      </c>
    </row>
    <row r="134" ht="15.75" customHeight="1" s="42">
      <c r="B134" s="53" t="n">
        <v>2023</v>
      </c>
      <c r="C134" s="53" t="inlineStr">
        <is>
          <t>Nov</t>
        </is>
      </c>
      <c r="D134" s="53" t="inlineStr">
        <is>
          <t>Nov/2023</t>
        </is>
      </c>
      <c r="E134" s="54" t="n">
        <v>11038.84</v>
      </c>
      <c r="F134" s="54" t="n"/>
      <c r="G134" s="54" t="n"/>
      <c r="H134" s="54" t="n"/>
      <c r="I134" s="54" t="n">
        <v>14113.12</v>
      </c>
      <c r="J134" s="54" t="n">
        <v>25151.96</v>
      </c>
      <c r="K134" s="53">
        <f>IF(E134&lt;&gt;E133,IF(E134="","",IF(E133="","","⬆ PROGRESSÃO")),"—")</f>
        <v/>
      </c>
      <c r="L134" s="54" t="inlineStr">
        <is>
          <t>Classe S, Padrão V</t>
        </is>
      </c>
      <c r="M134" s="54" t="inlineStr">
        <is>
          <t>Portal Transparência CGU</t>
        </is>
      </c>
    </row>
    <row r="135" ht="15.75" customHeight="1" s="42">
      <c r="B135" s="55" t="n">
        <v>2023</v>
      </c>
      <c r="C135" s="55" t="inlineStr">
        <is>
          <t>Dez</t>
        </is>
      </c>
      <c r="D135" s="55" t="inlineStr">
        <is>
          <t>Dez/2023</t>
        </is>
      </c>
      <c r="E135" s="56" t="n">
        <v>11038.84</v>
      </c>
      <c r="F135" s="56" t="n"/>
      <c r="G135" s="56" t="n"/>
      <c r="H135" s="56" t="n"/>
      <c r="I135" s="56" t="n">
        <v>10021.83</v>
      </c>
      <c r="J135" s="56" t="n">
        <v>21060.67</v>
      </c>
      <c r="K135" s="55">
        <f>IF(E135&lt;&gt;E134,IF(E135="","",IF(E134="","","⬆ PROGRESSÃO")),"—")</f>
        <v/>
      </c>
      <c r="L135" s="56" t="inlineStr">
        <is>
          <t>Classe S, Padrão V</t>
        </is>
      </c>
      <c r="M135" s="56" t="inlineStr">
        <is>
          <t>Portal Transparência CGU</t>
        </is>
      </c>
    </row>
    <row r="136" ht="15.75" customHeight="1" s="42">
      <c r="B136" s="53" t="n">
        <v>2024</v>
      </c>
      <c r="C136" s="53" t="inlineStr">
        <is>
          <t>Jan</t>
        </is>
      </c>
      <c r="D136" s="53" t="inlineStr">
        <is>
          <t>Jan/2024</t>
        </is>
      </c>
      <c r="E136" s="54" t="n">
        <v>11038.84</v>
      </c>
      <c r="F136" s="54" t="n"/>
      <c r="G136" s="54" t="n"/>
      <c r="H136" s="54" t="n"/>
      <c r="I136" s="54" t="n">
        <v>3544.84</v>
      </c>
      <c r="J136" s="54" t="n">
        <v>14583.68</v>
      </c>
      <c r="K136" s="53">
        <f>IF(E136&lt;&gt;E135,IF(E136="","",IF(E135="","","⬆ PROGRESSÃO")),"—")</f>
        <v/>
      </c>
      <c r="L136" s="54" t="inlineStr">
        <is>
          <t>Classe S, Padrão V</t>
        </is>
      </c>
      <c r="M136" s="54" t="inlineStr">
        <is>
          <t>Portal Transparência CGU</t>
        </is>
      </c>
    </row>
    <row r="137" ht="15.75" customHeight="1" s="42">
      <c r="B137" s="55" t="n">
        <v>2024</v>
      </c>
      <c r="C137" s="55" t="inlineStr">
        <is>
          <t>Fev</t>
        </is>
      </c>
      <c r="D137" s="55" t="inlineStr">
        <is>
          <t>Fev/2024</t>
        </is>
      </c>
      <c r="E137" s="56" t="n">
        <v>11038.84</v>
      </c>
      <c r="F137" s="56" t="n"/>
      <c r="G137" s="56" t="n"/>
      <c r="H137" s="56" t="n"/>
      <c r="I137" s="56" t="n">
        <v>0</v>
      </c>
      <c r="J137" s="56" t="n">
        <v>11038.84</v>
      </c>
      <c r="K137" s="55">
        <f>IF(E137&lt;&gt;E136,IF(E137="","",IF(E136="","","⬆ PROGRESSÃO")),"—")</f>
        <v/>
      </c>
      <c r="L137" s="56" t="inlineStr">
        <is>
          <t>Classe S, Padrão V</t>
        </is>
      </c>
      <c r="M137" s="56" t="inlineStr">
        <is>
          <t>Portal Transparência CGU</t>
        </is>
      </c>
    </row>
    <row r="138" ht="15.75" customHeight="1" s="42">
      <c r="B138" s="53" t="n">
        <v>2024</v>
      </c>
      <c r="C138" s="53" t="inlineStr">
        <is>
          <t>Mar</t>
        </is>
      </c>
      <c r="D138" s="53" t="inlineStr">
        <is>
          <t>Mar/2024</t>
        </is>
      </c>
      <c r="E138" s="54" t="n">
        <v>11038.84</v>
      </c>
      <c r="F138" s="54" t="n"/>
      <c r="G138" s="54" t="n"/>
      <c r="H138" s="54" t="n"/>
      <c r="I138" s="54" t="n">
        <v>0</v>
      </c>
      <c r="J138" s="54" t="n">
        <v>11038.84</v>
      </c>
      <c r="K138" s="53">
        <f>IF(E138&lt;&gt;E137,IF(E138="","",IF(E137="","","⬆ PROGRESSÃO")),"—")</f>
        <v/>
      </c>
      <c r="L138" s="54" t="inlineStr">
        <is>
          <t>Classe S, Padrão V</t>
        </is>
      </c>
      <c r="M138" s="54" t="inlineStr">
        <is>
          <t>Portal Transparência CGU</t>
        </is>
      </c>
    </row>
    <row r="139" ht="15.75" customHeight="1" s="42">
      <c r="B139" s="55" t="n">
        <v>2024</v>
      </c>
      <c r="C139" s="55" t="inlineStr">
        <is>
          <t>Abr</t>
        </is>
      </c>
      <c r="D139" s="55" t="inlineStr">
        <is>
          <t>Abr/2024</t>
        </is>
      </c>
      <c r="E139" s="56" t="n">
        <v>11038.84</v>
      </c>
      <c r="F139" s="56" t="n"/>
      <c r="G139" s="56" t="n"/>
      <c r="H139" s="56" t="n"/>
      <c r="I139" s="56" t="n">
        <v>71.40000000000001</v>
      </c>
      <c r="J139" s="56" t="n">
        <v>11110.24</v>
      </c>
      <c r="K139" s="55">
        <f>IF(E139&lt;&gt;E138,IF(E139="","",IF(E138="","","⬆ PROGRESSÃO")),"—")</f>
        <v/>
      </c>
      <c r="L139" s="56" t="inlineStr">
        <is>
          <t>Classe S, Padrão V</t>
        </is>
      </c>
      <c r="M139" s="56" t="inlineStr">
        <is>
          <t>Portal Transparência CGU</t>
        </is>
      </c>
    </row>
    <row r="140" ht="15.75" customHeight="1" s="42">
      <c r="B140" s="53" t="n">
        <v>2024</v>
      </c>
      <c r="C140" s="53" t="inlineStr">
        <is>
          <t>Mai</t>
        </is>
      </c>
      <c r="D140" s="53" t="inlineStr">
        <is>
          <t>Mai/2024</t>
        </is>
      </c>
      <c r="E140" s="54" t="n">
        <v>11038.84</v>
      </c>
      <c r="F140" s="54" t="n"/>
      <c r="G140" s="54" t="n"/>
      <c r="H140" s="54" t="n"/>
      <c r="I140" s="54" t="n">
        <v>0</v>
      </c>
      <c r="J140" s="54" t="n">
        <v>11038.84</v>
      </c>
      <c r="K140" s="53">
        <f>IF(E140&lt;&gt;E139,IF(E140="","",IF(E139="","","⬆ PROGRESSÃO")),"—")</f>
        <v/>
      </c>
      <c r="L140" s="54" t="inlineStr">
        <is>
          <t>Classe S, Padrão V</t>
        </is>
      </c>
      <c r="M140" s="54" t="inlineStr">
        <is>
          <t>Portal Transparência CGU</t>
        </is>
      </c>
    </row>
    <row r="141" ht="15.75" customHeight="1" s="42">
      <c r="B141" s="55" t="n">
        <v>2024</v>
      </c>
      <c r="C141" s="55" t="inlineStr">
        <is>
          <t>Jun</t>
        </is>
      </c>
      <c r="D141" s="55" t="inlineStr">
        <is>
          <t>Jun/2024</t>
        </is>
      </c>
      <c r="E141" s="56" t="n">
        <v>11038.84</v>
      </c>
      <c r="F141" s="56" t="n"/>
      <c r="G141" s="56" t="n"/>
      <c r="H141" s="56" t="n"/>
      <c r="I141" s="56" t="n">
        <v>3572.72</v>
      </c>
      <c r="J141" s="56" t="n">
        <v>14611.56</v>
      </c>
      <c r="K141" s="55">
        <f>IF(E141&lt;&gt;E140,IF(E141="","",IF(E140="","","⬆ PROGRESSÃO")),"—")</f>
        <v/>
      </c>
      <c r="L141" s="56" t="inlineStr">
        <is>
          <t>Classe S, Padrão V</t>
        </is>
      </c>
      <c r="M141" s="56" t="inlineStr">
        <is>
          <t>Portal Transparência CGU</t>
        </is>
      </c>
    </row>
    <row r="142" ht="15.75" customHeight="1" s="42">
      <c r="B142" s="53" t="n">
        <v>2024</v>
      </c>
      <c r="C142" s="53" t="inlineStr">
        <is>
          <t>Jul</t>
        </is>
      </c>
      <c r="D142" s="53" t="inlineStr">
        <is>
          <t>Jul/2024</t>
        </is>
      </c>
      <c r="E142" s="54" t="n">
        <v>11038.84</v>
      </c>
      <c r="F142" s="54" t="n"/>
      <c r="G142" s="54" t="n"/>
      <c r="H142" s="54" t="n"/>
      <c r="I142" s="54" t="n">
        <v>5864.32</v>
      </c>
      <c r="J142" s="54" t="n">
        <v>16903.16</v>
      </c>
      <c r="K142" s="53">
        <f>IF(E142&lt;&gt;E141,IF(E142="","",IF(E141="","","⬆ PROGRESSÃO")),"—")</f>
        <v/>
      </c>
      <c r="L142" s="54" t="inlineStr">
        <is>
          <t>Classe S, Padrão V</t>
        </is>
      </c>
      <c r="M142" s="54" t="inlineStr">
        <is>
          <t>Portal Transparência CGU</t>
        </is>
      </c>
    </row>
    <row r="143" ht="15.75" customHeight="1" s="42">
      <c r="B143" s="55" t="n">
        <v>2024</v>
      </c>
      <c r="C143" s="55" t="inlineStr">
        <is>
          <t>Ago</t>
        </is>
      </c>
      <c r="D143" s="55" t="inlineStr">
        <is>
          <t>Ago/2024</t>
        </is>
      </c>
      <c r="E143" s="56" t="n">
        <v>11038.84</v>
      </c>
      <c r="F143" s="56" t="n"/>
      <c r="G143" s="56" t="n"/>
      <c r="H143" s="56" t="n"/>
      <c r="I143" s="56" t="n">
        <v>9181.360000000001</v>
      </c>
      <c r="J143" s="56" t="n">
        <v>20220.2</v>
      </c>
      <c r="K143" s="55">
        <f>IF(E143&lt;&gt;E142,IF(E143="","",IF(E142="","","⬆ PROGRESSÃO")),"—")</f>
        <v/>
      </c>
      <c r="L143" s="56" t="inlineStr">
        <is>
          <t>Classe S, Padrão V</t>
        </is>
      </c>
      <c r="M143" s="56" t="inlineStr">
        <is>
          <t>Portal Transparência CGU</t>
        </is>
      </c>
    </row>
    <row r="144" ht="15.75" customHeight="1" s="42">
      <c r="B144" s="53" t="n">
        <v>2024</v>
      </c>
      <c r="C144" s="53" t="inlineStr">
        <is>
          <t>Set</t>
        </is>
      </c>
      <c r="D144" s="53" t="inlineStr">
        <is>
          <t>Set/2024</t>
        </is>
      </c>
      <c r="E144" s="54" t="n">
        <v>11319.4</v>
      </c>
      <c r="F144" s="54" t="n"/>
      <c r="G144" s="54" t="n"/>
      <c r="H144" s="54" t="n"/>
      <c r="I144" s="54" t="n">
        <v>3488.4</v>
      </c>
      <c r="J144" s="54" t="n">
        <v>14807.8</v>
      </c>
      <c r="K144" s="53">
        <f>IF(E144&lt;&gt;E143,IF(E144="","",IF(E143="","","⬆ PROGRESSÃO")),"—")</f>
        <v/>
      </c>
      <c r="L144" s="54" t="inlineStr">
        <is>
          <t>Classe S, Padrão V</t>
        </is>
      </c>
      <c r="M144" s="54" t="inlineStr">
        <is>
          <t>Portal Transparência CGU</t>
        </is>
      </c>
    </row>
    <row r="145" ht="15.75" customHeight="1" s="42">
      <c r="B145" s="55" t="n">
        <v>2024</v>
      </c>
      <c r="C145" s="55" t="inlineStr">
        <is>
          <t>Out</t>
        </is>
      </c>
      <c r="D145" s="55" t="inlineStr">
        <is>
          <t>Out/2024</t>
        </is>
      </c>
      <c r="E145" s="56" t="n">
        <v>11319.4</v>
      </c>
      <c r="F145" s="56" t="n"/>
      <c r="G145" s="56" t="n"/>
      <c r="H145" s="56" t="n"/>
      <c r="I145" s="56" t="n">
        <v>170</v>
      </c>
      <c r="J145" s="56" t="n">
        <v>11489.4</v>
      </c>
      <c r="K145" s="55">
        <f>IF(E145&lt;&gt;E144,IF(E145="","",IF(E144="","","⬆ PROGRESSÃO")),"—")</f>
        <v/>
      </c>
      <c r="L145" s="56" t="inlineStr">
        <is>
          <t>Classe S, Padrão V</t>
        </is>
      </c>
      <c r="M145" s="56" t="inlineStr">
        <is>
          <t>Portal Transparência CGU</t>
        </is>
      </c>
    </row>
    <row r="146" ht="15.75" customHeight="1" s="42">
      <c r="B146" s="53" t="n">
        <v>2024</v>
      </c>
      <c r="C146" s="53" t="inlineStr">
        <is>
          <t>Nov</t>
        </is>
      </c>
      <c r="D146" s="53" t="inlineStr">
        <is>
          <t>Nov/2024</t>
        </is>
      </c>
      <c r="E146" s="54" t="n">
        <v>11319.4</v>
      </c>
      <c r="F146" s="54" t="n"/>
      <c r="G146" s="54" t="n"/>
      <c r="H146" s="54" t="n"/>
      <c r="I146" s="54" t="n">
        <v>11533.6</v>
      </c>
      <c r="J146" s="54" t="n">
        <v>22853</v>
      </c>
      <c r="K146" s="53">
        <f>IF(E146&lt;&gt;E145,IF(E146="","",IF(E145="","","⬆ PROGRESSÃO")),"—")</f>
        <v/>
      </c>
      <c r="L146" s="54" t="inlineStr">
        <is>
          <t>Classe S, Padrão V</t>
        </is>
      </c>
      <c r="M146" s="54" t="inlineStr">
        <is>
          <t>Portal Transparência CGU</t>
        </is>
      </c>
    </row>
    <row r="147" ht="15.75" customHeight="1" s="42">
      <c r="B147" s="55" t="n">
        <v>2024</v>
      </c>
      <c r="C147" s="55" t="inlineStr">
        <is>
          <t>Dez</t>
        </is>
      </c>
      <c r="D147" s="55" t="inlineStr">
        <is>
          <t>Dez/2024</t>
        </is>
      </c>
      <c r="E147" s="56" t="n"/>
      <c r="F147" s="56" t="n"/>
      <c r="G147" s="56" t="n"/>
      <c r="H147" s="56" t="n"/>
      <c r="I147" s="56" t="n"/>
      <c r="J147" s="56" t="n"/>
      <c r="K147" s="55" t="inlineStr">
        <is>
          <t>Omissão CGU</t>
        </is>
      </c>
      <c r="L147" s="56" t="inlineStr">
        <is>
          <t>Classe S, Padrão V</t>
        </is>
      </c>
      <c r="M147" s="56" t="inlineStr">
        <is>
          <t>Vínculo ativo em 202412_Cadastro.csv — Pendente exibição INSS</t>
        </is>
      </c>
    </row>
    <row r="148" ht="15.75" customHeight="1" s="42">
      <c r="B148" s="53" t="n">
        <v>2025</v>
      </c>
      <c r="C148" s="53" t="inlineStr">
        <is>
          <t>Jan</t>
        </is>
      </c>
      <c r="D148" s="53" t="inlineStr">
        <is>
          <t>Jan/2025</t>
        </is>
      </c>
      <c r="E148" s="54" t="n">
        <v>11319.4</v>
      </c>
      <c r="F148" s="54" t="n"/>
      <c r="G148" s="54" t="n"/>
      <c r="H148" s="54" t="n"/>
      <c r="I148" s="54" t="n">
        <v>17722.03</v>
      </c>
      <c r="J148" s="54" t="n">
        <v>29041.43</v>
      </c>
      <c r="K148" s="53">
        <f>IF(E148&lt;&gt;E147,IF(E148="","",IF(E147="","","⬆ PROGRESSÃO")),"—")</f>
        <v/>
      </c>
      <c r="L148" s="54" t="inlineStr">
        <is>
          <t>Classe S, Padrão V</t>
        </is>
      </c>
      <c r="M148" s="54" t="inlineStr">
        <is>
          <t>Portal Transparência CGU</t>
        </is>
      </c>
    </row>
    <row r="149" ht="15.75" customHeight="1" s="42">
      <c r="B149" s="55" t="n">
        <v>2025</v>
      </c>
      <c r="C149" s="55" t="inlineStr">
        <is>
          <t>Fev</t>
        </is>
      </c>
      <c r="D149" s="55" t="inlineStr">
        <is>
          <t>Fev/2025</t>
        </is>
      </c>
      <c r="E149" s="56" t="n">
        <v>11319.4</v>
      </c>
      <c r="F149" s="56" t="n"/>
      <c r="G149" s="56" t="n"/>
      <c r="H149" s="56" t="n"/>
      <c r="I149" s="56" t="n">
        <v>0</v>
      </c>
      <c r="J149" s="56" t="n">
        <v>11319.4</v>
      </c>
      <c r="K149" s="55">
        <f>IF(E149&lt;&gt;E148,IF(E149="","",IF(E148="","","⬆ PROGRESSÃO")),"—")</f>
        <v/>
      </c>
      <c r="L149" s="56" t="inlineStr">
        <is>
          <t>Classe S, Padrão V</t>
        </is>
      </c>
      <c r="M149" s="56" t="inlineStr">
        <is>
          <t>Portal Transparência CGU</t>
        </is>
      </c>
    </row>
    <row r="150" ht="15.75" customHeight="1" s="42">
      <c r="B150" s="53" t="n">
        <v>2025</v>
      </c>
      <c r="C150" s="53" t="inlineStr">
        <is>
          <t>Mar</t>
        </is>
      </c>
      <c r="D150" s="53" t="inlineStr">
        <is>
          <t>Mar/2025</t>
        </is>
      </c>
      <c r="E150" s="54" t="n">
        <v>11319.4</v>
      </c>
      <c r="F150" s="54" t="n"/>
      <c r="G150" s="54" t="n"/>
      <c r="H150" s="54" t="n"/>
      <c r="I150" s="54" t="n">
        <v>0</v>
      </c>
      <c r="J150" s="54" t="n">
        <v>11319.4</v>
      </c>
      <c r="K150" s="53">
        <f>IF(E150&lt;&gt;E149,IF(E150="","",IF(E149="","","⬆ PROGRESSÃO")),"—")</f>
        <v/>
      </c>
      <c r="L150" s="54" t="inlineStr">
        <is>
          <t>Classe S, Padrão V</t>
        </is>
      </c>
      <c r="M150" s="54" t="inlineStr">
        <is>
          <t>Portal Transparência CGU</t>
        </is>
      </c>
    </row>
    <row r="151" ht="15.75" customHeight="1" s="42">
      <c r="B151" s="55" t="n">
        <v>2025</v>
      </c>
      <c r="C151" s="55" t="inlineStr">
        <is>
          <t>Abr</t>
        </is>
      </c>
      <c r="D151" s="55" t="inlineStr">
        <is>
          <t>Abr/2025</t>
        </is>
      </c>
      <c r="E151" s="56" t="n">
        <v>12590.41</v>
      </c>
      <c r="F151" s="56" t="n"/>
      <c r="G151" s="56" t="n"/>
      <c r="H151" s="56" t="n"/>
      <c r="I151" s="56" t="n">
        <v>4077.69</v>
      </c>
      <c r="J151" s="56" t="n">
        <v>16668.1</v>
      </c>
      <c r="K151" s="55">
        <f>IF(E151&lt;&gt;E150,IF(E151="","",IF(E150="","","⬆ PROGRESSÃO")),"—")</f>
        <v/>
      </c>
      <c r="L151" s="56" t="inlineStr">
        <is>
          <t>Classe S, Padrão V</t>
        </is>
      </c>
      <c r="M151" s="56" t="inlineStr">
        <is>
          <t>Portal Transparência CGU</t>
        </is>
      </c>
    </row>
    <row r="152" ht="15.75" customHeight="1" s="42">
      <c r="B152" s="53" t="n">
        <v>2025</v>
      </c>
      <c r="C152" s="53" t="inlineStr">
        <is>
          <t>Mai</t>
        </is>
      </c>
      <c r="D152" s="53" t="inlineStr">
        <is>
          <t>Mai/2025</t>
        </is>
      </c>
      <c r="E152" s="54" t="n">
        <v>12590.41</v>
      </c>
      <c r="F152" s="54" t="n"/>
      <c r="G152" s="54" t="n"/>
      <c r="H152" s="54" t="n"/>
      <c r="I152" s="54" t="n">
        <v>0</v>
      </c>
      <c r="J152" s="54" t="n">
        <v>12590.41</v>
      </c>
      <c r="K152" s="53">
        <f>IF(E152&lt;&gt;E151,IF(E152="","",IF(E151="","","⬆ PROGRESSÃO")),"—")</f>
        <v/>
      </c>
      <c r="L152" s="54" t="inlineStr">
        <is>
          <t>Classe S, Padrão V</t>
        </is>
      </c>
      <c r="M152" s="54" t="inlineStr">
        <is>
          <t>Portal Transparência CGU</t>
        </is>
      </c>
    </row>
    <row r="153" ht="15.75" customHeight="1" s="42">
      <c r="B153" s="55" t="n">
        <v>2025</v>
      </c>
      <c r="C153" s="55" t="inlineStr">
        <is>
          <t>Jun</t>
        </is>
      </c>
      <c r="D153" s="55" t="inlineStr">
        <is>
          <t>Jun/2025</t>
        </is>
      </c>
      <c r="E153" s="56" t="n">
        <v>12590.41</v>
      </c>
      <c r="F153" s="56" t="n"/>
      <c r="G153" s="56" t="n"/>
      <c r="H153" s="56" t="n"/>
      <c r="I153" s="56" t="n">
        <v>0</v>
      </c>
      <c r="J153" s="56" t="n">
        <v>12590.41</v>
      </c>
      <c r="K153" s="55">
        <f>IF(E153&lt;&gt;E152,IF(E153="","",IF(E152="","","⬆ PROGRESSÃO")),"—")</f>
        <v/>
      </c>
      <c r="L153" s="56" t="inlineStr">
        <is>
          <t>Classe S, Padrão V</t>
        </is>
      </c>
      <c r="M153" s="56" t="inlineStr">
        <is>
          <t>Portal Transparência CGU</t>
        </is>
      </c>
    </row>
    <row r="154" ht="15.75" customHeight="1" s="42">
      <c r="B154" s="53" t="n">
        <v>2025</v>
      </c>
      <c r="C154" s="53" t="inlineStr">
        <is>
          <t>Jul</t>
        </is>
      </c>
      <c r="D154" s="53" t="inlineStr">
        <is>
          <t>Jul/2025</t>
        </is>
      </c>
      <c r="E154" s="54" t="n">
        <v>12590.41</v>
      </c>
      <c r="F154" s="54" t="n"/>
      <c r="G154" s="54" t="n"/>
      <c r="H154" s="54" t="n"/>
      <c r="I154" s="54" t="n">
        <v>829.6</v>
      </c>
      <c r="J154" s="54" t="n">
        <v>13420.01</v>
      </c>
      <c r="K154" s="53">
        <f>IF(E154&lt;&gt;E153,IF(E154="","",IF(E153="","","⬆ PROGRESSÃO")),"—")</f>
        <v/>
      </c>
      <c r="L154" s="54" t="inlineStr">
        <is>
          <t>Classe S, Padrão V</t>
        </is>
      </c>
      <c r="M154" s="54" t="inlineStr">
        <is>
          <t>Portal Transparência CGU</t>
        </is>
      </c>
    </row>
    <row r="155" ht="15.75" customHeight="1" s="42">
      <c r="B155" s="55" t="n">
        <v>2025</v>
      </c>
      <c r="C155" s="55" t="inlineStr">
        <is>
          <t>Ago</t>
        </is>
      </c>
      <c r="D155" s="55" t="inlineStr">
        <is>
          <t>Ago/2025</t>
        </is>
      </c>
      <c r="E155" s="56" t="n">
        <v>12590.41</v>
      </c>
      <c r="F155" s="56" t="n"/>
      <c r="G155" s="56" t="n"/>
      <c r="H155" s="56" t="n"/>
      <c r="I155" s="56" t="n">
        <v>1672.8</v>
      </c>
      <c r="J155" s="56" t="n">
        <v>14263.21</v>
      </c>
      <c r="K155" s="55">
        <f>IF(E155&lt;&gt;E154,IF(E155="","",IF(E154="","","⬆ PROGRESSÃO")),"—")</f>
        <v/>
      </c>
      <c r="L155" s="56" t="inlineStr">
        <is>
          <t>Classe S, Padrão V</t>
        </is>
      </c>
      <c r="M155" s="56" t="inlineStr">
        <is>
          <t>Portal Transparência CGU</t>
        </is>
      </c>
    </row>
    <row r="156" ht="15.75" customHeight="1" s="42">
      <c r="B156" s="53" t="n">
        <v>2025</v>
      </c>
      <c r="C156" s="53" t="inlineStr">
        <is>
          <t>Set</t>
        </is>
      </c>
      <c r="D156" s="53" t="inlineStr">
        <is>
          <t>Set/2025</t>
        </is>
      </c>
      <c r="E156" s="54" t="n">
        <v>13005.89</v>
      </c>
      <c r="F156" s="54" t="n"/>
      <c r="G156" s="54" t="n"/>
      <c r="H156" s="54" t="n"/>
      <c r="I156" s="54" t="n">
        <v>1385.16</v>
      </c>
      <c r="J156" s="54" t="n">
        <v>14391.05</v>
      </c>
      <c r="K156" s="53">
        <f>IF(E156&lt;&gt;E155,IF(E156="","",IF(E155="","","⬆ PROGRESSÃO")),"—")</f>
        <v/>
      </c>
      <c r="L156" s="54" t="inlineStr">
        <is>
          <t>Classe S, Padrão V</t>
        </is>
      </c>
      <c r="M156" s="54" t="inlineStr">
        <is>
          <t>Portal Transparência CGU</t>
        </is>
      </c>
    </row>
    <row r="157" ht="15.75" customHeight="1" s="42">
      <c r="B157" s="55" t="n">
        <v>2025</v>
      </c>
      <c r="C157" s="55" t="inlineStr">
        <is>
          <t>Out</t>
        </is>
      </c>
      <c r="D157" s="55" t="inlineStr">
        <is>
          <t>Out/2025</t>
        </is>
      </c>
      <c r="E157" s="56" t="n">
        <v>13005.89</v>
      </c>
      <c r="F157" s="56" t="n"/>
      <c r="G157" s="56" t="n"/>
      <c r="H157" s="56" t="n"/>
      <c r="I157" s="56" t="n">
        <v>0</v>
      </c>
      <c r="J157" s="56" t="n">
        <v>13005.89</v>
      </c>
      <c r="K157" s="55">
        <f>IF(E157&lt;&gt;E156,IF(E157="","",IF(E156="","","⬆ PROGRESSÃO")),"—")</f>
        <v/>
      </c>
      <c r="L157" s="56" t="inlineStr">
        <is>
          <t>Classe S, Padrão V</t>
        </is>
      </c>
      <c r="M157" s="56" t="inlineStr">
        <is>
          <t>Portal Transparência CGU</t>
        </is>
      </c>
    </row>
    <row r="158" ht="15.75" customHeight="1" s="42">
      <c r="B158" s="53" t="n">
        <v>2025</v>
      </c>
      <c r="C158" s="53" t="inlineStr">
        <is>
          <t>Nov</t>
        </is>
      </c>
      <c r="D158" s="53" t="inlineStr">
        <is>
          <t>Nov/2025</t>
        </is>
      </c>
      <c r="E158" s="54" t="n">
        <v>13005.89</v>
      </c>
      <c r="F158" s="54" t="n"/>
      <c r="G158" s="54" t="n"/>
      <c r="H158" s="54" t="n"/>
      <c r="I158" s="54" t="n">
        <v>13005.89</v>
      </c>
      <c r="J158" s="54" t="n">
        <v>26011.78</v>
      </c>
      <c r="K158" s="53">
        <f>IF(E158&lt;&gt;E157,IF(E158="","",IF(E157="","","⬆ PROGRESSÃO")),"—")</f>
        <v/>
      </c>
      <c r="L158" s="54" t="inlineStr">
        <is>
          <t>Classe S, Padrão V</t>
        </is>
      </c>
      <c r="M158" s="54" t="inlineStr">
        <is>
          <t>Portal Transparência CGU</t>
        </is>
      </c>
    </row>
    <row r="159" ht="15.75" customHeight="1" s="42">
      <c r="B159" s="55" t="n">
        <v>2025</v>
      </c>
      <c r="C159" s="55" t="inlineStr">
        <is>
          <t>Dez</t>
        </is>
      </c>
      <c r="D159" s="55" t="inlineStr">
        <is>
          <t>Dez/2025</t>
        </is>
      </c>
      <c r="E159" s="56" t="n">
        <v>13005.89</v>
      </c>
      <c r="F159" s="56" t="n"/>
      <c r="G159" s="56" t="n"/>
      <c r="H159" s="56" t="n"/>
      <c r="I159" s="56" t="n">
        <v>12717.75</v>
      </c>
      <c r="J159" s="56" t="n">
        <v>25723.64</v>
      </c>
      <c r="K159" s="55">
        <f>IF(E159&lt;&gt;E158,IF(E159="","",IF(E158="","","⬆ PROGRESSÃO")),"—")</f>
        <v/>
      </c>
      <c r="L159" s="56" t="inlineStr">
        <is>
          <t>Classe S, Padrão V</t>
        </is>
      </c>
      <c r="M159" s="56" t="inlineStr">
        <is>
          <t>Portal Transparência CGU</t>
        </is>
      </c>
    </row>
    <row r="160" ht="15.75" customHeight="1" s="42">
      <c r="B160" s="53" t="n">
        <v>2026</v>
      </c>
      <c r="C160" s="53" t="inlineStr">
        <is>
          <t>Jan</t>
        </is>
      </c>
      <c r="D160" s="53" t="inlineStr">
        <is>
          <t>Jan/2026</t>
        </is>
      </c>
      <c r="E160" s="54" t="n">
        <v>13179.21</v>
      </c>
      <c r="F160" s="54" t="n"/>
      <c r="G160" s="54" t="n"/>
      <c r="H160" s="54" t="n"/>
      <c r="I160" s="54" t="n">
        <v>57.78</v>
      </c>
      <c r="J160" s="54" t="n">
        <v>13236.99</v>
      </c>
      <c r="K160" s="53">
        <f>IF(E160&lt;&gt;E159,IF(E160="","",IF(E159="","","⬆ PROGRESSÃO")),"—")</f>
        <v/>
      </c>
      <c r="L160" s="54" t="inlineStr">
        <is>
          <t>Classe S, Padrão V</t>
        </is>
      </c>
      <c r="M160" s="54" t="inlineStr">
        <is>
          <t>Portal Transparência CGU</t>
        </is>
      </c>
    </row>
    <row r="161" ht="15.75" customHeight="1" s="42">
      <c r="B161" s="55" t="n">
        <v>2026</v>
      </c>
      <c r="C161" s="55" t="inlineStr">
        <is>
          <t>Fev</t>
        </is>
      </c>
      <c r="D161" s="55" t="inlineStr">
        <is>
          <t>Fev/2026</t>
        </is>
      </c>
      <c r="E161" s="56" t="n">
        <v>13179.21</v>
      </c>
      <c r="F161" s="56" t="n"/>
      <c r="G161" s="56" t="n"/>
      <c r="H161" s="56" t="n"/>
      <c r="I161" s="56" t="n">
        <v>0</v>
      </c>
      <c r="J161" s="56" t="n">
        <v>13179.21</v>
      </c>
      <c r="K161" s="55">
        <f>IF(E161&lt;&gt;E160,IF(E161="","",IF(E160="","","⬆ PROGRESSÃO")),"—")</f>
        <v/>
      </c>
      <c r="L161" s="56" t="inlineStr">
        <is>
          <t>Classe S, Padrão V</t>
        </is>
      </c>
      <c r="M161" s="56" t="inlineStr">
        <is>
          <t>Portal Transparência CGU</t>
        </is>
      </c>
    </row>
    <row r="162" ht="15.75" customHeight="1" s="42">
      <c r="B162" s="53" t="n">
        <v>2026</v>
      </c>
      <c r="C162" s="53" t="inlineStr">
        <is>
          <t>Mar</t>
        </is>
      </c>
      <c r="D162" s="53" t="inlineStr">
        <is>
          <t>Mar/2026</t>
        </is>
      </c>
      <c r="E162" s="54" t="n">
        <v>13179.21</v>
      </c>
      <c r="F162" s="54" t="n"/>
      <c r="G162" s="54" t="n"/>
      <c r="H162" s="54" t="n"/>
      <c r="I162" s="54" t="n">
        <v>0</v>
      </c>
      <c r="J162" s="54" t="n">
        <v>13179.21</v>
      </c>
      <c r="K162" s="53">
        <f>IF(E162&lt;&gt;E161,IF(E162="","",IF(E161="","","⬆ PROGRESSÃO")),"—")</f>
        <v/>
      </c>
      <c r="L162" s="54" t="inlineStr">
        <is>
          <t>Classe S, Padrão V</t>
        </is>
      </c>
      <c r="M162" s="54" t="inlineStr">
        <is>
          <t>Portal Transparência CGU</t>
        </is>
      </c>
    </row>
    <row r="163" ht="15.75" customHeight="1" s="42">
      <c r="B163" s="55" t="n">
        <v>2026</v>
      </c>
      <c r="C163" s="55" t="inlineStr">
        <is>
          <t>Abr</t>
        </is>
      </c>
      <c r="D163" s="55" t="inlineStr">
        <is>
          <t>Abr/2026</t>
        </is>
      </c>
      <c r="E163" s="56" t="n">
        <v>13776.21</v>
      </c>
      <c r="F163" s="56" t="n"/>
      <c r="G163" s="56" t="n"/>
      <c r="H163" s="56" t="n"/>
      <c r="I163" s="56" t="n">
        <v>0</v>
      </c>
      <c r="J163" s="56" t="n">
        <v>13776.21</v>
      </c>
      <c r="K163" s="55">
        <f>IF(E163&lt;&gt;E162,IF(E163="","",IF(E162="","","⬆ PROGRESSÃO")),"—")</f>
        <v/>
      </c>
      <c r="L163" s="56" t="inlineStr">
        <is>
          <t>Classe S, Padrão V</t>
        </is>
      </c>
      <c r="M163" s="56" t="inlineStr">
        <is>
          <t>Portal Transparência CGU</t>
        </is>
      </c>
    </row>
    <row r="164" ht="15.75" customHeight="1" s="42">
      <c r="B164" s="53" t="n">
        <v>2026</v>
      </c>
      <c r="C164" s="53" t="inlineStr">
        <is>
          <t>Mai</t>
        </is>
      </c>
      <c r="D164" s="53" t="inlineStr">
        <is>
          <t>Mai/2026</t>
        </is>
      </c>
      <c r="E164" s="54" t="n">
        <v>13776.21</v>
      </c>
      <c r="F164" s="54" t="n"/>
      <c r="G164" s="54" t="n"/>
      <c r="H164" s="54" t="n"/>
      <c r="I164" s="54" t="n">
        <v>0</v>
      </c>
      <c r="J164" s="54" t="n">
        <v>13776.21</v>
      </c>
      <c r="K164" s="53">
        <f>IF(E164&lt;&gt;E163,IF(E164="","",IF(E163="","","⬆ PROGRESSÃO")),"—")</f>
        <v/>
      </c>
      <c r="L164" s="54" t="inlineStr">
        <is>
          <t>Classe S, Padrão V</t>
        </is>
      </c>
      <c r="M164" s="54" t="inlineStr">
        <is>
          <t>Portal Transparência CGU</t>
        </is>
      </c>
    </row>
    <row r="165" ht="15.75" customHeight="1" s="42">
      <c r="B165" s="55" t="n">
        <v>2026</v>
      </c>
      <c r="C165" s="55" t="inlineStr">
        <is>
          <t>Jun</t>
        </is>
      </c>
      <c r="D165" s="55" t="inlineStr">
        <is>
          <t>Jun/2026</t>
        </is>
      </c>
      <c r="E165" s="56" t="n">
        <v>13776.21</v>
      </c>
      <c r="F165" s="56" t="n"/>
      <c r="G165" s="56" t="n"/>
      <c r="H165" s="56" t="n"/>
      <c r="I165" s="56" t="n">
        <v>0</v>
      </c>
      <c r="J165" s="56" t="n">
        <v>13776.21</v>
      </c>
      <c r="K165" s="55">
        <f>IF(E165&lt;&gt;E164,IF(E165="","",IF(E164="","","⬆ PROGRESSÃO")),"—")</f>
        <v/>
      </c>
      <c r="L165" s="56" t="inlineStr">
        <is>
          <t>Classe S, Padrão V</t>
        </is>
      </c>
      <c r="M165" s="56" t="inlineStr">
        <is>
          <t>Portal Transparência CGU</t>
        </is>
      </c>
    </row>
    <row r="166" ht="15.75" customHeight="1" s="42">
      <c r="B166" s="53" t="n">
        <v>2026</v>
      </c>
      <c r="C166" s="53" t="inlineStr">
        <is>
          <t>Jul</t>
        </is>
      </c>
      <c r="D166" s="53" t="inlineStr">
        <is>
          <t>Jul/2026</t>
        </is>
      </c>
      <c r="E166" s="54" t="n">
        <v>13776.21</v>
      </c>
      <c r="F166" s="54" t="n"/>
      <c r="G166" s="54" t="n"/>
      <c r="H166" s="54" t="n"/>
      <c r="I166" s="54" t="n">
        <v>0</v>
      </c>
      <c r="J166" s="54" t="n">
        <v>13776.21</v>
      </c>
      <c r="K166" s="53">
        <f>IF(E166&lt;&gt;E165,IF(E166="","",IF(E165="","","⬆ PROGRESSÃO")),"—")</f>
        <v/>
      </c>
      <c r="L166" s="54" t="inlineStr">
        <is>
          <t>Classe S, Padrão V</t>
        </is>
      </c>
      <c r="M166" s="54" t="inlineStr">
        <is>
          <t>Portal Transparência CGU</t>
        </is>
      </c>
    </row>
    <row r="167" ht="15.75" customHeight="1" s="42">
      <c r="B167" s="55" t="n">
        <v>2026</v>
      </c>
      <c r="C167" s="55" t="inlineStr">
        <is>
          <t>Ago</t>
        </is>
      </c>
      <c r="D167" s="55" t="inlineStr">
        <is>
          <t>Ago/2026</t>
        </is>
      </c>
      <c r="E167" s="56" t="n"/>
      <c r="F167" s="56" t="n"/>
      <c r="G167" s="56" t="n"/>
      <c r="H167" s="56" t="n"/>
      <c r="I167" s="56" t="n"/>
      <c r="J167" s="56" t="n"/>
      <c r="K167" s="55">
        <f>IF(E167&lt;&gt;E166,IF(E167="","",IF(E166="","","⬆ PROGRESSÃO")),"—")</f>
        <v/>
      </c>
      <c r="L167" s="56" t="n"/>
      <c r="M167" s="56" t="n"/>
    </row>
    <row r="168" ht="15.75" customHeight="1" s="42">
      <c r="B168" s="53" t="n">
        <v>2026</v>
      </c>
      <c r="C168" s="53" t="inlineStr">
        <is>
          <t>Set</t>
        </is>
      </c>
      <c r="D168" s="53" t="inlineStr">
        <is>
          <t>Set/2026</t>
        </is>
      </c>
      <c r="E168" s="54" t="n"/>
      <c r="F168" s="54" t="n"/>
      <c r="G168" s="54" t="n"/>
      <c r="H168" s="54" t="n"/>
      <c r="I168" s="54" t="n"/>
      <c r="J168" s="54" t="n"/>
      <c r="K168" s="53">
        <f>IF(E168&lt;&gt;E167,IF(E168="","",IF(E167="","","⬆ PROGRESSÃO")),"—")</f>
        <v/>
      </c>
      <c r="L168" s="54" t="n"/>
      <c r="M168" s="54" t="n"/>
    </row>
    <row r="169" ht="15.75" customHeight="1" s="42">
      <c r="B169" s="55" t="n">
        <v>2026</v>
      </c>
      <c r="C169" s="55" t="inlineStr">
        <is>
          <t>Out</t>
        </is>
      </c>
      <c r="D169" s="55" t="inlineStr">
        <is>
          <t>Out/2026</t>
        </is>
      </c>
      <c r="E169" s="56" t="n"/>
      <c r="F169" s="56" t="n"/>
      <c r="G169" s="56" t="n"/>
      <c r="H169" s="56" t="n"/>
      <c r="I169" s="56" t="n"/>
      <c r="J169" s="56" t="n"/>
      <c r="K169" s="55">
        <f>IF(E169&lt;&gt;E168,IF(E169="","",IF(E168="","","⬆ PROGRESSÃO")),"—")</f>
        <v/>
      </c>
      <c r="L169" s="56" t="n"/>
      <c r="M169" s="56" t="n"/>
    </row>
    <row r="170" ht="15.75" customHeight="1" s="42">
      <c r="B170" s="53" t="n">
        <v>2026</v>
      </c>
      <c r="C170" s="53" t="inlineStr">
        <is>
          <t>Nov</t>
        </is>
      </c>
      <c r="D170" s="53" t="inlineStr">
        <is>
          <t>Nov/2026</t>
        </is>
      </c>
      <c r="E170" s="54" t="n"/>
      <c r="F170" s="54" t="n"/>
      <c r="G170" s="54" t="n"/>
      <c r="H170" s="54" t="n"/>
      <c r="I170" s="54" t="n"/>
      <c r="J170" s="54" t="n"/>
      <c r="K170" s="53">
        <f>IF(E170&lt;&gt;E169,IF(E170="","",IF(E169="","","⬆ PROGRESSÃO")),"—")</f>
        <v/>
      </c>
      <c r="L170" s="54" t="n"/>
      <c r="M170" s="54" t="n"/>
    </row>
    <row r="171" ht="15.75" customHeight="1" s="42">
      <c r="B171" s="55" t="n">
        <v>2026</v>
      </c>
      <c r="C171" s="55" t="inlineStr">
        <is>
          <t>Dez</t>
        </is>
      </c>
      <c r="D171" s="55" t="inlineStr">
        <is>
          <t>Dez/2026</t>
        </is>
      </c>
      <c r="E171" s="56" t="n"/>
      <c r="F171" s="56" t="n"/>
      <c r="G171" s="56" t="n"/>
      <c r="H171" s="56" t="n"/>
      <c r="I171" s="56" t="n"/>
      <c r="J171" s="56" t="n"/>
      <c r="K171" s="55">
        <f>IF(E171&lt;&gt;E170,IF(E171="","",IF(E170="","","⬆ PROGRESSÃO")),"—")</f>
        <v/>
      </c>
      <c r="L171" s="56" t="n"/>
      <c r="M171" s="56" t="n"/>
    </row>
  </sheetData>
  <mergeCells count="2">
    <mergeCell ref="B2:M2"/>
    <mergeCell ref="B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B1:M6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1" min="1" max="1"/>
    <col width="10" customWidth="1" style="41" min="2" max="3"/>
    <col width="16" customWidth="1" style="41" min="4" max="4"/>
    <col width="14" customWidth="1" style="41" min="5" max="6"/>
    <col width="12" customWidth="1" style="41" min="7" max="7"/>
    <col width="14" customWidth="1" style="41" min="8" max="8"/>
    <col width="12" customWidth="1" style="41" min="9" max="10"/>
    <col width="14" customWidth="1" style="41" min="11" max="12"/>
    <col width="20" customWidth="1" style="41" min="13" max="13"/>
  </cols>
  <sheetData>
    <row r="1" ht="27.75" customHeight="1" s="42">
      <c r="B1" s="50" t="inlineStr">
        <is>
          <t>DADOS VIA LAI (FALA.BR) — ANDERSON VIEIRA DE LIMA (2008–2013)</t>
        </is>
      </c>
    </row>
    <row r="2" ht="18" customHeight="1" s="42">
      <c r="B2" s="57" t="inlineStr">
        <is>
          <t>Fonte: Resposta ao pedido LAI protocolado no Fala.BR. Preencher após recebimento (prazo: 20-30 dias úteis)</t>
        </is>
      </c>
    </row>
    <row r="3" ht="36" customHeight="1" s="42">
      <c r="B3" s="58" t="inlineStr">
        <is>
          <t>Ano</t>
        </is>
      </c>
      <c r="C3" s="58" t="inlineStr">
        <is>
          <t>Mês</t>
        </is>
      </c>
      <c r="D3" s="58" t="inlineStr">
        <is>
          <t>Mês/Ano</t>
        </is>
      </c>
      <c r="E3" s="58" t="inlineStr">
        <is>
          <t>Venc. Básico (R$)</t>
        </is>
      </c>
      <c r="F3" s="58" t="inlineStr">
        <is>
          <t>GAE (R$)</t>
        </is>
      </c>
      <c r="G3" s="58" t="inlineStr">
        <is>
          <t>GDASS (pts)</t>
        </is>
      </c>
      <c r="H3" s="58" t="inlineStr">
        <is>
          <t>GDASS (R$)</t>
        </is>
      </c>
      <c r="I3" s="58" t="inlineStr">
        <is>
          <t>Outras Grat. (R$)</t>
        </is>
      </c>
      <c r="J3" s="58" t="inlineStr">
        <is>
          <t>Total Bruto (R$)</t>
        </is>
      </c>
      <c r="K3" s="58" t="inlineStr">
        <is>
          <t>VB variou?</t>
        </is>
      </c>
      <c r="L3" s="58" t="inlineStr">
        <is>
          <t>Classe/Padrão</t>
        </is>
      </c>
      <c r="M3" s="58" t="inlineStr">
        <is>
          <t>Observações</t>
        </is>
      </c>
    </row>
    <row r="4" ht="15.75" customHeight="1" s="42">
      <c r="B4" s="53" t="n">
        <v>2008</v>
      </c>
      <c r="C4" s="53" t="inlineStr">
        <is>
          <t>Nov</t>
        </is>
      </c>
      <c r="D4" s="59" t="inlineStr">
        <is>
          <t>Nov/2008</t>
        </is>
      </c>
      <c r="E4" s="54" t="n"/>
      <c r="F4" s="54" t="n"/>
      <c r="G4" s="54" t="n"/>
      <c r="H4" s="54" t="n"/>
      <c r="I4" s="54" t="n"/>
      <c r="J4" s="54" t="n"/>
      <c r="K4" s="60" t="inlineStr">
        <is>
          <t>Posse (nov/2008)</t>
        </is>
      </c>
      <c r="L4" s="54" t="n"/>
      <c r="M4" s="54" t="n"/>
    </row>
    <row r="5" ht="15.75" customHeight="1" s="42">
      <c r="B5" s="55" t="n">
        <v>2008</v>
      </c>
      <c r="C5" s="55" t="inlineStr">
        <is>
          <t>Dez</t>
        </is>
      </c>
      <c r="D5" s="55" t="inlineStr">
        <is>
          <t>Dez/2008</t>
        </is>
      </c>
      <c r="E5" s="56" t="n"/>
      <c r="F5" s="56" t="n"/>
      <c r="G5" s="56" t="n"/>
      <c r="H5" s="56" t="n"/>
      <c r="I5" s="56" t="n"/>
      <c r="J5" s="56" t="n"/>
      <c r="K5" s="55">
        <f>IF(E5&lt;&gt;E4,IF(E5="","",IF(E4="","","⬆ PROGRESSÃO")),"—")</f>
        <v/>
      </c>
      <c r="L5" s="56" t="n"/>
      <c r="M5" s="56" t="n"/>
    </row>
    <row r="6" ht="15.75" customHeight="1" s="42">
      <c r="B6" s="53" t="n">
        <v>2009</v>
      </c>
      <c r="C6" s="53" t="inlineStr">
        <is>
          <t>Jan</t>
        </is>
      </c>
      <c r="D6" s="53" t="inlineStr">
        <is>
          <t>Jan/2009</t>
        </is>
      </c>
      <c r="E6" s="54" t="n"/>
      <c r="F6" s="54" t="n"/>
      <c r="G6" s="54" t="n"/>
      <c r="H6" s="54" t="n"/>
      <c r="I6" s="54" t="n"/>
      <c r="J6" s="54" t="n"/>
      <c r="K6" s="53">
        <f>IF(E6&lt;&gt;E5,IF(E6="","",IF(E5="","","⬆ PROGRESSÃO")),"—")</f>
        <v/>
      </c>
      <c r="L6" s="54" t="n"/>
      <c r="M6" s="54" t="n"/>
    </row>
    <row r="7" ht="15.75" customHeight="1" s="42">
      <c r="B7" s="55" t="n">
        <v>2009</v>
      </c>
      <c r="C7" s="55" t="inlineStr">
        <is>
          <t>Fev</t>
        </is>
      </c>
      <c r="D7" s="55" t="inlineStr">
        <is>
          <t>Fev/2009</t>
        </is>
      </c>
      <c r="E7" s="56" t="n"/>
      <c r="F7" s="56" t="n"/>
      <c r="G7" s="56" t="n"/>
      <c r="H7" s="56" t="n"/>
      <c r="I7" s="56" t="n"/>
      <c r="J7" s="56" t="n"/>
      <c r="K7" s="55">
        <f>IF(E7&lt;&gt;E6,IF(E7="","",IF(E6="","","⬆ PROGRESSÃO")),"—")</f>
        <v/>
      </c>
      <c r="L7" s="56" t="n"/>
      <c r="M7" s="56" t="n"/>
    </row>
    <row r="8" ht="15.75" customHeight="1" s="42">
      <c r="B8" s="53" t="n">
        <v>2009</v>
      </c>
      <c r="C8" s="53" t="inlineStr">
        <is>
          <t>Mar</t>
        </is>
      </c>
      <c r="D8" s="53" t="inlineStr">
        <is>
          <t>Mar/2009</t>
        </is>
      </c>
      <c r="E8" s="54" t="n"/>
      <c r="F8" s="54" t="n"/>
      <c r="G8" s="54" t="n"/>
      <c r="H8" s="54" t="n"/>
      <c r="I8" s="54" t="n"/>
      <c r="J8" s="54" t="n"/>
      <c r="K8" s="53">
        <f>IF(E8&lt;&gt;E7,IF(E8="","",IF(E7="","","⬆ PROGRESSÃO")),"—")</f>
        <v/>
      </c>
      <c r="L8" s="54" t="n"/>
      <c r="M8" s="54" t="n"/>
    </row>
    <row r="9" ht="15.75" customHeight="1" s="42">
      <c r="B9" s="55" t="n">
        <v>2009</v>
      </c>
      <c r="C9" s="55" t="inlineStr">
        <is>
          <t>Abr</t>
        </is>
      </c>
      <c r="D9" s="55" t="inlineStr">
        <is>
          <t>Abr/2009</t>
        </is>
      </c>
      <c r="E9" s="56" t="n"/>
      <c r="F9" s="56" t="n"/>
      <c r="G9" s="56" t="n"/>
      <c r="H9" s="56" t="n"/>
      <c r="I9" s="56" t="n"/>
      <c r="J9" s="56" t="n"/>
      <c r="K9" s="55">
        <f>IF(E9&lt;&gt;E8,IF(E9="","",IF(E8="","","⬆ PROGRESSÃO")),"—")</f>
        <v/>
      </c>
      <c r="L9" s="56" t="n"/>
      <c r="M9" s="56" t="n"/>
    </row>
    <row r="10" ht="15.75" customHeight="1" s="42">
      <c r="B10" s="53" t="n">
        <v>2009</v>
      </c>
      <c r="C10" s="53" t="inlineStr">
        <is>
          <t>Mai</t>
        </is>
      </c>
      <c r="D10" s="53" t="inlineStr">
        <is>
          <t>Mai/2009</t>
        </is>
      </c>
      <c r="E10" s="54" t="n"/>
      <c r="F10" s="54" t="n"/>
      <c r="G10" s="54" t="n"/>
      <c r="H10" s="54" t="n"/>
      <c r="I10" s="54" t="n"/>
      <c r="J10" s="54" t="n"/>
      <c r="K10" s="53">
        <f>IF(E10&lt;&gt;E9,IF(E10="","",IF(E9="","","⬆ PROGRESSÃO")),"—")</f>
        <v/>
      </c>
      <c r="L10" s="54" t="n"/>
      <c r="M10" s="54" t="n"/>
    </row>
    <row r="11" ht="15.75" customHeight="1" s="42">
      <c r="B11" s="55" t="n">
        <v>2009</v>
      </c>
      <c r="C11" s="55" t="inlineStr">
        <is>
          <t>Jun</t>
        </is>
      </c>
      <c r="D11" s="55" t="inlineStr">
        <is>
          <t>Jun/2009</t>
        </is>
      </c>
      <c r="E11" s="56" t="n"/>
      <c r="F11" s="56" t="n"/>
      <c r="G11" s="56" t="n"/>
      <c r="H11" s="56" t="n"/>
      <c r="I11" s="56" t="n"/>
      <c r="J11" s="56" t="n"/>
      <c r="K11" s="55">
        <f>IF(E11&lt;&gt;E10,IF(E11="","",IF(E10="","","⬆ PROGRESSÃO")),"—")</f>
        <v/>
      </c>
      <c r="L11" s="56" t="n"/>
      <c r="M11" s="56" t="n"/>
    </row>
    <row r="12" ht="15.75" customHeight="1" s="42">
      <c r="B12" s="53" t="n">
        <v>2009</v>
      </c>
      <c r="C12" s="53" t="inlineStr">
        <is>
          <t>Jul</t>
        </is>
      </c>
      <c r="D12" s="53" t="inlineStr">
        <is>
          <t>Jul/2009</t>
        </is>
      </c>
      <c r="E12" s="54" t="n"/>
      <c r="F12" s="54" t="n"/>
      <c r="G12" s="54" t="n"/>
      <c r="H12" s="54" t="n"/>
      <c r="I12" s="54" t="n"/>
      <c r="J12" s="54" t="n"/>
      <c r="K12" s="53">
        <f>IF(E12&lt;&gt;E11,IF(E12="","",IF(E11="","","⬆ PROGRESSÃO")),"—")</f>
        <v/>
      </c>
      <c r="L12" s="54" t="n"/>
      <c r="M12" s="54" t="n"/>
    </row>
    <row r="13" ht="15.75" customHeight="1" s="42">
      <c r="B13" s="55" t="n">
        <v>2009</v>
      </c>
      <c r="C13" s="55" t="inlineStr">
        <is>
          <t>Ago</t>
        </is>
      </c>
      <c r="D13" s="55" t="inlineStr">
        <is>
          <t>Ago/2009</t>
        </is>
      </c>
      <c r="E13" s="56" t="n"/>
      <c r="F13" s="56" t="n"/>
      <c r="G13" s="56" t="n"/>
      <c r="H13" s="56" t="n"/>
      <c r="I13" s="56" t="n"/>
      <c r="J13" s="56" t="n"/>
      <c r="K13" s="55">
        <f>IF(E13&lt;&gt;E12,IF(E13="","",IF(E12="","","⬆ PROGRESSÃO")),"—")</f>
        <v/>
      </c>
      <c r="L13" s="56" t="n"/>
      <c r="M13" s="56" t="n"/>
    </row>
    <row r="14" ht="15.75" customHeight="1" s="42">
      <c r="B14" s="53" t="n">
        <v>2009</v>
      </c>
      <c r="C14" s="53" t="inlineStr">
        <is>
          <t>Set</t>
        </is>
      </c>
      <c r="D14" s="53" t="inlineStr">
        <is>
          <t>Set/2009</t>
        </is>
      </c>
      <c r="E14" s="54" t="n"/>
      <c r="F14" s="54" t="n"/>
      <c r="G14" s="54" t="n"/>
      <c r="H14" s="54" t="n"/>
      <c r="I14" s="54" t="n"/>
      <c r="J14" s="54" t="n"/>
      <c r="K14" s="53">
        <f>IF(E14&lt;&gt;E13,IF(E14="","",IF(E13="","","⬆ PROGRESSÃO")),"—")</f>
        <v/>
      </c>
      <c r="L14" s="54" t="n"/>
      <c r="M14" s="54" t="n"/>
    </row>
    <row r="15" ht="15.75" customHeight="1" s="42">
      <c r="B15" s="55" t="n">
        <v>2009</v>
      </c>
      <c r="C15" s="55" t="inlineStr">
        <is>
          <t>Out</t>
        </is>
      </c>
      <c r="D15" s="55" t="inlineStr">
        <is>
          <t>Out/2009</t>
        </is>
      </c>
      <c r="E15" s="56" t="n"/>
      <c r="F15" s="56" t="n"/>
      <c r="G15" s="56" t="n"/>
      <c r="H15" s="56" t="n"/>
      <c r="I15" s="56" t="n"/>
      <c r="J15" s="56" t="n"/>
      <c r="K15" s="55">
        <f>IF(E15&lt;&gt;E14,IF(E15="","",IF(E14="","","⬆ PROGRESSÃO")),"—")</f>
        <v/>
      </c>
      <c r="L15" s="56" t="n"/>
      <c r="M15" s="56" t="n"/>
    </row>
    <row r="16" ht="15.75" customHeight="1" s="42">
      <c r="B16" s="53" t="n">
        <v>2009</v>
      </c>
      <c r="C16" s="53" t="inlineStr">
        <is>
          <t>Nov</t>
        </is>
      </c>
      <c r="D16" s="53" t="inlineStr">
        <is>
          <t>Nov/2009</t>
        </is>
      </c>
      <c r="E16" s="54" t="n"/>
      <c r="F16" s="54" t="n"/>
      <c r="G16" s="54" t="n"/>
      <c r="H16" s="54" t="n"/>
      <c r="I16" s="54" t="n"/>
      <c r="J16" s="54" t="n"/>
      <c r="K16" s="53">
        <f>IF(E16&lt;&gt;E15,IF(E16="","",IF(E15="","","⬆ PROGRESSÃO")),"—")</f>
        <v/>
      </c>
      <c r="L16" s="54" t="n"/>
      <c r="M16" s="54" t="n"/>
    </row>
    <row r="17" ht="15.75" customHeight="1" s="42">
      <c r="B17" s="55" t="n">
        <v>2009</v>
      </c>
      <c r="C17" s="55" t="inlineStr">
        <is>
          <t>Dez</t>
        </is>
      </c>
      <c r="D17" s="55" t="inlineStr">
        <is>
          <t>Dez/2009</t>
        </is>
      </c>
      <c r="E17" s="56" t="n"/>
      <c r="F17" s="56" t="n"/>
      <c r="G17" s="56" t="n"/>
      <c r="H17" s="56" t="n"/>
      <c r="I17" s="56" t="n"/>
      <c r="J17" s="56" t="n"/>
      <c r="K17" s="55">
        <f>IF(E17&lt;&gt;E16,IF(E17="","",IF(E16="","","⬆ PROGRESSÃO")),"—")</f>
        <v/>
      </c>
      <c r="L17" s="56" t="n"/>
      <c r="M17" s="56" t="n"/>
    </row>
    <row r="18" ht="15.75" customHeight="1" s="42">
      <c r="B18" s="53" t="n">
        <v>2010</v>
      </c>
      <c r="C18" s="53" t="inlineStr">
        <is>
          <t>Jan</t>
        </is>
      </c>
      <c r="D18" s="53" t="inlineStr">
        <is>
          <t>Jan/2010</t>
        </is>
      </c>
      <c r="E18" s="54" t="n"/>
      <c r="F18" s="54" t="n"/>
      <c r="G18" s="54" t="n"/>
      <c r="H18" s="54" t="n"/>
      <c r="I18" s="54" t="n"/>
      <c r="J18" s="54" t="n"/>
      <c r="K18" s="53">
        <f>IF(E18&lt;&gt;E17,IF(E18="","",IF(E17="","","⬆ PROGRESSÃO")),"—")</f>
        <v/>
      </c>
      <c r="L18" s="54" t="n"/>
      <c r="M18" s="54" t="n"/>
    </row>
    <row r="19" ht="15.75" customHeight="1" s="42">
      <c r="B19" s="55" t="n">
        <v>2010</v>
      </c>
      <c r="C19" s="55" t="inlineStr">
        <is>
          <t>Fev</t>
        </is>
      </c>
      <c r="D19" s="55" t="inlineStr">
        <is>
          <t>Fev/2010</t>
        </is>
      </c>
      <c r="E19" s="56" t="n"/>
      <c r="F19" s="56" t="n"/>
      <c r="G19" s="56" t="n"/>
      <c r="H19" s="56" t="n"/>
      <c r="I19" s="56" t="n"/>
      <c r="J19" s="56" t="n"/>
      <c r="K19" s="55">
        <f>IF(E19&lt;&gt;E18,IF(E19="","",IF(E18="","","⬆ PROGRESSÃO")),"—")</f>
        <v/>
      </c>
      <c r="L19" s="56" t="n"/>
      <c r="M19" s="56" t="n"/>
    </row>
    <row r="20" ht="15.75" customHeight="1" s="42">
      <c r="B20" s="53" t="n">
        <v>2010</v>
      </c>
      <c r="C20" s="53" t="inlineStr">
        <is>
          <t>Mar</t>
        </is>
      </c>
      <c r="D20" s="53" t="inlineStr">
        <is>
          <t>Mar/2010</t>
        </is>
      </c>
      <c r="E20" s="54" t="n"/>
      <c r="F20" s="54" t="n"/>
      <c r="G20" s="54" t="n"/>
      <c r="H20" s="54" t="n"/>
      <c r="I20" s="54" t="n"/>
      <c r="J20" s="54" t="n"/>
      <c r="K20" s="53">
        <f>IF(E20&lt;&gt;E19,IF(E20="","",IF(E19="","","⬆ PROGRESSÃO")),"—")</f>
        <v/>
      </c>
      <c r="L20" s="54" t="n"/>
      <c r="M20" s="54" t="n"/>
    </row>
    <row r="21" ht="15.75" customHeight="1" s="42">
      <c r="B21" s="55" t="n">
        <v>2010</v>
      </c>
      <c r="C21" s="55" t="inlineStr">
        <is>
          <t>Abr</t>
        </is>
      </c>
      <c r="D21" s="55" t="inlineStr">
        <is>
          <t>Abr/2010</t>
        </is>
      </c>
      <c r="E21" s="56" t="n"/>
      <c r="F21" s="56" t="n"/>
      <c r="G21" s="56" t="n"/>
      <c r="H21" s="56" t="n"/>
      <c r="I21" s="56" t="n"/>
      <c r="J21" s="56" t="n"/>
      <c r="K21" s="55">
        <f>IF(E21&lt;&gt;E20,IF(E21="","",IF(E20="","","⬆ PROGRESSÃO")),"—")</f>
        <v/>
      </c>
      <c r="L21" s="56" t="n"/>
      <c r="M21" s="56" t="n"/>
    </row>
    <row r="22" ht="15.75" customHeight="1" s="42">
      <c r="B22" s="53" t="n">
        <v>2010</v>
      </c>
      <c r="C22" s="53" t="inlineStr">
        <is>
          <t>Mai</t>
        </is>
      </c>
      <c r="D22" s="53" t="inlineStr">
        <is>
          <t>Mai/2010</t>
        </is>
      </c>
      <c r="E22" s="54" t="n"/>
      <c r="F22" s="54" t="n"/>
      <c r="G22" s="54" t="n"/>
      <c r="H22" s="54" t="n"/>
      <c r="I22" s="54" t="n"/>
      <c r="J22" s="54" t="n"/>
      <c r="K22" s="53">
        <f>IF(E22&lt;&gt;E21,IF(E22="","",IF(E21="","","⬆ PROGRESSÃO")),"—")</f>
        <v/>
      </c>
      <c r="L22" s="54" t="n"/>
      <c r="M22" s="54" t="n"/>
    </row>
    <row r="23" ht="15.75" customHeight="1" s="42">
      <c r="B23" s="55" t="n">
        <v>2010</v>
      </c>
      <c r="C23" s="55" t="inlineStr">
        <is>
          <t>Jun</t>
        </is>
      </c>
      <c r="D23" s="55" t="inlineStr">
        <is>
          <t>Jun/2010</t>
        </is>
      </c>
      <c r="E23" s="56" t="n"/>
      <c r="F23" s="56" t="n"/>
      <c r="G23" s="56" t="n"/>
      <c r="H23" s="56" t="n"/>
      <c r="I23" s="56" t="n"/>
      <c r="J23" s="56" t="n"/>
      <c r="K23" s="55">
        <f>IF(E23&lt;&gt;E22,IF(E23="","",IF(E22="","","⬆ PROGRESSÃO")),"—")</f>
        <v/>
      </c>
      <c r="L23" s="56" t="n"/>
      <c r="M23" s="56" t="n"/>
    </row>
    <row r="24" ht="15.75" customHeight="1" s="42">
      <c r="B24" s="53" t="n">
        <v>2010</v>
      </c>
      <c r="C24" s="53" t="inlineStr">
        <is>
          <t>Jul</t>
        </is>
      </c>
      <c r="D24" s="53" t="inlineStr">
        <is>
          <t>Jul/2010</t>
        </is>
      </c>
      <c r="E24" s="54" t="n"/>
      <c r="F24" s="54" t="n"/>
      <c r="G24" s="54" t="n"/>
      <c r="H24" s="54" t="n"/>
      <c r="I24" s="54" t="n"/>
      <c r="J24" s="54" t="n"/>
      <c r="K24" s="53">
        <f>IF(E24&lt;&gt;E23,IF(E24="","",IF(E23="","","⬆ PROGRESSÃO")),"—")</f>
        <v/>
      </c>
      <c r="L24" s="54" t="n"/>
      <c r="M24" s="54" t="n"/>
    </row>
    <row r="25" ht="15.75" customHeight="1" s="42">
      <c r="B25" s="55" t="n">
        <v>2010</v>
      </c>
      <c r="C25" s="55" t="inlineStr">
        <is>
          <t>Ago</t>
        </is>
      </c>
      <c r="D25" s="55" t="inlineStr">
        <is>
          <t>Ago/2010</t>
        </is>
      </c>
      <c r="E25" s="56" t="n"/>
      <c r="F25" s="56" t="n"/>
      <c r="G25" s="56" t="n"/>
      <c r="H25" s="56" t="n"/>
      <c r="I25" s="56" t="n"/>
      <c r="J25" s="56" t="n"/>
      <c r="K25" s="55">
        <f>IF(E25&lt;&gt;E24,IF(E25="","",IF(E24="","","⬆ PROGRESSÃO")),"—")</f>
        <v/>
      </c>
      <c r="L25" s="56" t="n"/>
      <c r="M25" s="56" t="n"/>
    </row>
    <row r="26" ht="15.75" customHeight="1" s="42">
      <c r="B26" s="53" t="n">
        <v>2010</v>
      </c>
      <c r="C26" s="53" t="inlineStr">
        <is>
          <t>Set</t>
        </is>
      </c>
      <c r="D26" s="53" t="inlineStr">
        <is>
          <t>Set/2010</t>
        </is>
      </c>
      <c r="E26" s="54" t="n"/>
      <c r="F26" s="54" t="n"/>
      <c r="G26" s="54" t="n"/>
      <c r="H26" s="54" t="n"/>
      <c r="I26" s="54" t="n"/>
      <c r="J26" s="54" t="n"/>
      <c r="K26" s="53">
        <f>IF(E26&lt;&gt;E25,IF(E26="","",IF(E25="","","⬆ PROGRESSÃO")),"—")</f>
        <v/>
      </c>
      <c r="L26" s="54" t="n"/>
      <c r="M26" s="54" t="n"/>
    </row>
    <row r="27" ht="15.75" customHeight="1" s="42">
      <c r="B27" s="55" t="n">
        <v>2010</v>
      </c>
      <c r="C27" s="55" t="inlineStr">
        <is>
          <t>Out</t>
        </is>
      </c>
      <c r="D27" s="55" t="inlineStr">
        <is>
          <t>Out/2010</t>
        </is>
      </c>
      <c r="E27" s="56" t="n"/>
      <c r="F27" s="56" t="n"/>
      <c r="G27" s="56" t="n"/>
      <c r="H27" s="56" t="n"/>
      <c r="I27" s="56" t="n"/>
      <c r="J27" s="56" t="n"/>
      <c r="K27" s="55">
        <f>IF(E27&lt;&gt;E26,IF(E27="","",IF(E26="","","⬆ PROGRESSÃO")),"—")</f>
        <v/>
      </c>
      <c r="L27" s="56" t="n"/>
      <c r="M27" s="56" t="n"/>
    </row>
    <row r="28" ht="15.75" customHeight="1" s="42">
      <c r="B28" s="53" t="n">
        <v>2010</v>
      </c>
      <c r="C28" s="53" t="inlineStr">
        <is>
          <t>Nov</t>
        </is>
      </c>
      <c r="D28" s="53" t="inlineStr">
        <is>
          <t>Nov/2010</t>
        </is>
      </c>
      <c r="E28" s="54" t="n"/>
      <c r="F28" s="54" t="n"/>
      <c r="G28" s="54" t="n"/>
      <c r="H28" s="54" t="n"/>
      <c r="I28" s="54" t="n"/>
      <c r="J28" s="54" t="n"/>
      <c r="K28" s="53">
        <f>IF(E28&lt;&gt;E27,IF(E28="","",IF(E27="","","⬆ PROGRESSÃO")),"—")</f>
        <v/>
      </c>
      <c r="L28" s="54" t="n"/>
      <c r="M28" s="54" t="n"/>
    </row>
    <row r="29" ht="15.75" customHeight="1" s="42">
      <c r="B29" s="55" t="n">
        <v>2010</v>
      </c>
      <c r="C29" s="55" t="inlineStr">
        <is>
          <t>Dez</t>
        </is>
      </c>
      <c r="D29" s="55" t="inlineStr">
        <is>
          <t>Dez/2010</t>
        </is>
      </c>
      <c r="E29" s="56" t="n"/>
      <c r="F29" s="56" t="n"/>
      <c r="G29" s="56" t="n"/>
      <c r="H29" s="56" t="n"/>
      <c r="I29" s="56" t="n"/>
      <c r="J29" s="56" t="n"/>
      <c r="K29" s="55">
        <f>IF(E29&lt;&gt;E28,IF(E29="","",IF(E28="","","⬆ PROGRESSÃO")),"—")</f>
        <v/>
      </c>
      <c r="L29" s="56" t="n"/>
      <c r="M29" s="56" t="n"/>
    </row>
    <row r="30" ht="15.75" customHeight="1" s="42">
      <c r="B30" s="53" t="n">
        <v>2011</v>
      </c>
      <c r="C30" s="53" t="inlineStr">
        <is>
          <t>Jan</t>
        </is>
      </c>
      <c r="D30" s="53" t="inlineStr">
        <is>
          <t>Jan/2011</t>
        </is>
      </c>
      <c r="E30" s="54" t="n"/>
      <c r="F30" s="54" t="n"/>
      <c r="G30" s="54" t="n"/>
      <c r="H30" s="54" t="n"/>
      <c r="I30" s="54" t="n"/>
      <c r="J30" s="54" t="n"/>
      <c r="K30" s="53">
        <f>IF(E30&lt;&gt;E29,IF(E30="","",IF(E29="","","⬆ PROGRESSÃO")),"—")</f>
        <v/>
      </c>
      <c r="L30" s="54" t="n"/>
      <c r="M30" s="54" t="n"/>
    </row>
    <row r="31" ht="15.75" customHeight="1" s="42">
      <c r="B31" s="55" t="n">
        <v>2011</v>
      </c>
      <c r="C31" s="55" t="inlineStr">
        <is>
          <t>Fev</t>
        </is>
      </c>
      <c r="D31" s="55" t="inlineStr">
        <is>
          <t>Fev/2011</t>
        </is>
      </c>
      <c r="E31" s="56" t="n"/>
      <c r="F31" s="56" t="n"/>
      <c r="G31" s="56" t="n"/>
      <c r="H31" s="56" t="n"/>
      <c r="I31" s="56" t="n"/>
      <c r="J31" s="56" t="n"/>
      <c r="K31" s="55">
        <f>IF(E31&lt;&gt;E30,IF(E31="","",IF(E30="","","⬆ PROGRESSÃO")),"—")</f>
        <v/>
      </c>
      <c r="L31" s="56" t="n"/>
      <c r="M31" s="56" t="n"/>
    </row>
    <row r="32" ht="15.75" customHeight="1" s="42">
      <c r="B32" s="53" t="n">
        <v>2011</v>
      </c>
      <c r="C32" s="53" t="inlineStr">
        <is>
          <t>Mar</t>
        </is>
      </c>
      <c r="D32" s="53" t="inlineStr">
        <is>
          <t>Mar/2011</t>
        </is>
      </c>
      <c r="E32" s="54" t="n"/>
      <c r="F32" s="54" t="n"/>
      <c r="G32" s="54" t="n"/>
      <c r="H32" s="54" t="n"/>
      <c r="I32" s="54" t="n"/>
      <c r="J32" s="54" t="n"/>
      <c r="K32" s="53">
        <f>IF(E32&lt;&gt;E31,IF(E32="","",IF(E31="","","⬆ PROGRESSÃO")),"—")</f>
        <v/>
      </c>
      <c r="L32" s="54" t="n"/>
      <c r="M32" s="54" t="n"/>
    </row>
    <row r="33" ht="15.75" customHeight="1" s="42">
      <c r="B33" s="55" t="n">
        <v>2011</v>
      </c>
      <c r="C33" s="55" t="inlineStr">
        <is>
          <t>Abr</t>
        </is>
      </c>
      <c r="D33" s="55" t="inlineStr">
        <is>
          <t>Abr/2011</t>
        </is>
      </c>
      <c r="E33" s="56" t="n"/>
      <c r="F33" s="56" t="n"/>
      <c r="G33" s="56" t="n"/>
      <c r="H33" s="56" t="n"/>
      <c r="I33" s="56" t="n"/>
      <c r="J33" s="56" t="n"/>
      <c r="K33" s="55">
        <f>IF(E33&lt;&gt;E32,IF(E33="","",IF(E32="","","⬆ PROGRESSÃO")),"—")</f>
        <v/>
      </c>
      <c r="L33" s="56" t="n"/>
      <c r="M33" s="56" t="n"/>
    </row>
    <row r="34" ht="15.75" customHeight="1" s="42">
      <c r="B34" s="53" t="n">
        <v>2011</v>
      </c>
      <c r="C34" s="53" t="inlineStr">
        <is>
          <t>Mai</t>
        </is>
      </c>
      <c r="D34" s="53" t="inlineStr">
        <is>
          <t>Mai/2011</t>
        </is>
      </c>
      <c r="E34" s="54" t="n"/>
      <c r="F34" s="54" t="n"/>
      <c r="G34" s="54" t="n"/>
      <c r="H34" s="54" t="n"/>
      <c r="I34" s="54" t="n"/>
      <c r="J34" s="54" t="n"/>
      <c r="K34" s="53">
        <f>IF(E34&lt;&gt;E33,IF(E34="","",IF(E33="","","⬆ PROGRESSÃO")),"—")</f>
        <v/>
      </c>
      <c r="L34" s="54" t="n"/>
      <c r="M34" s="54" t="n"/>
    </row>
    <row r="35" ht="15.75" customHeight="1" s="42">
      <c r="B35" s="55" t="n">
        <v>2011</v>
      </c>
      <c r="C35" s="55" t="inlineStr">
        <is>
          <t>Jun</t>
        </is>
      </c>
      <c r="D35" s="55" t="inlineStr">
        <is>
          <t>Jun/2011</t>
        </is>
      </c>
      <c r="E35" s="56" t="n"/>
      <c r="F35" s="56" t="n"/>
      <c r="G35" s="56" t="n"/>
      <c r="H35" s="56" t="n"/>
      <c r="I35" s="56" t="n"/>
      <c r="J35" s="56" t="n"/>
      <c r="K35" s="55">
        <f>IF(E35&lt;&gt;E34,IF(E35="","",IF(E34="","","⬆ PROGRESSÃO")),"—")</f>
        <v/>
      </c>
      <c r="L35" s="56" t="n"/>
      <c r="M35" s="56" t="n"/>
    </row>
    <row r="36" ht="15.75" customHeight="1" s="42">
      <c r="B36" s="53" t="n">
        <v>2011</v>
      </c>
      <c r="C36" s="53" t="inlineStr">
        <is>
          <t>Jul</t>
        </is>
      </c>
      <c r="D36" s="53" t="inlineStr">
        <is>
          <t>Jul/2011</t>
        </is>
      </c>
      <c r="E36" s="54" t="n"/>
      <c r="F36" s="54" t="n"/>
      <c r="G36" s="54" t="n"/>
      <c r="H36" s="54" t="n"/>
      <c r="I36" s="54" t="n"/>
      <c r="J36" s="54" t="n"/>
      <c r="K36" s="53">
        <f>IF(E36&lt;&gt;E35,IF(E36="","",IF(E35="","","⬆ PROGRESSÃO")),"—")</f>
        <v/>
      </c>
      <c r="L36" s="54" t="n"/>
      <c r="M36" s="54" t="n"/>
    </row>
    <row r="37" ht="15.75" customHeight="1" s="42">
      <c r="B37" s="55" t="n">
        <v>2011</v>
      </c>
      <c r="C37" s="55" t="inlineStr">
        <is>
          <t>Ago</t>
        </is>
      </c>
      <c r="D37" s="55" t="inlineStr">
        <is>
          <t>Ago/2011</t>
        </is>
      </c>
      <c r="E37" s="56" t="n"/>
      <c r="F37" s="56" t="n"/>
      <c r="G37" s="56" t="n"/>
      <c r="H37" s="56" t="n"/>
      <c r="I37" s="56" t="n"/>
      <c r="J37" s="56" t="n"/>
      <c r="K37" s="55">
        <f>IF(E37&lt;&gt;E36,IF(E37="","",IF(E36="","","⬆ PROGRESSÃO")),"—")</f>
        <v/>
      </c>
      <c r="L37" s="56" t="n"/>
      <c r="M37" s="56" t="n"/>
    </row>
    <row r="38" ht="15.75" customHeight="1" s="42">
      <c r="B38" s="53" t="n">
        <v>2011</v>
      </c>
      <c r="C38" s="53" t="inlineStr">
        <is>
          <t>Set</t>
        </is>
      </c>
      <c r="D38" s="53" t="inlineStr">
        <is>
          <t>Set/2011</t>
        </is>
      </c>
      <c r="E38" s="54" t="n"/>
      <c r="F38" s="54" t="n"/>
      <c r="G38" s="54" t="n"/>
      <c r="H38" s="54" t="n"/>
      <c r="I38" s="54" t="n"/>
      <c r="J38" s="54" t="n"/>
      <c r="K38" s="53">
        <f>IF(E38&lt;&gt;E37,IF(E38="","",IF(E37="","","⬆ PROGRESSÃO")),"—")</f>
        <v/>
      </c>
      <c r="L38" s="54" t="n"/>
      <c r="M38" s="54" t="n"/>
    </row>
    <row r="39" ht="15.75" customHeight="1" s="42">
      <c r="B39" s="55" t="n">
        <v>2011</v>
      </c>
      <c r="C39" s="55" t="inlineStr">
        <is>
          <t>Out</t>
        </is>
      </c>
      <c r="D39" s="55" t="inlineStr">
        <is>
          <t>Out/2011</t>
        </is>
      </c>
      <c r="E39" s="56" t="n"/>
      <c r="F39" s="56" t="n"/>
      <c r="G39" s="56" t="n"/>
      <c r="H39" s="56" t="n"/>
      <c r="I39" s="56" t="n"/>
      <c r="J39" s="56" t="n"/>
      <c r="K39" s="55">
        <f>IF(E39&lt;&gt;E38,IF(E39="","",IF(E38="","","⬆ PROGRESSÃO")),"—")</f>
        <v/>
      </c>
      <c r="L39" s="56" t="n"/>
      <c r="M39" s="56" t="n"/>
    </row>
    <row r="40" ht="15.75" customHeight="1" s="42">
      <c r="B40" s="53" t="n">
        <v>2011</v>
      </c>
      <c r="C40" s="53" t="inlineStr">
        <is>
          <t>Nov</t>
        </is>
      </c>
      <c r="D40" s="53" t="inlineStr">
        <is>
          <t>Nov/2011</t>
        </is>
      </c>
      <c r="E40" s="54" t="n"/>
      <c r="F40" s="54" t="n"/>
      <c r="G40" s="54" t="n"/>
      <c r="H40" s="54" t="n"/>
      <c r="I40" s="54" t="n"/>
      <c r="J40" s="54" t="n"/>
      <c r="K40" s="53">
        <f>IF(E40&lt;&gt;E39,IF(E40="","",IF(E39="","","⬆ PROGRESSÃO")),"—")</f>
        <v/>
      </c>
      <c r="L40" s="54" t="n"/>
      <c r="M40" s="54" t="n"/>
    </row>
    <row r="41" ht="15.75" customHeight="1" s="42">
      <c r="B41" s="55" t="n">
        <v>2011</v>
      </c>
      <c r="C41" s="55" t="inlineStr">
        <is>
          <t>Dez</t>
        </is>
      </c>
      <c r="D41" s="55" t="inlineStr">
        <is>
          <t>Dez/2011</t>
        </is>
      </c>
      <c r="E41" s="56" t="n"/>
      <c r="F41" s="56" t="n"/>
      <c r="G41" s="56" t="n"/>
      <c r="H41" s="56" t="n"/>
      <c r="I41" s="56" t="n"/>
      <c r="J41" s="56" t="n"/>
      <c r="K41" s="55">
        <f>IF(E41&lt;&gt;E40,IF(E41="","",IF(E40="","","⬆ PROGRESSÃO")),"—")</f>
        <v/>
      </c>
      <c r="L41" s="56" t="n"/>
      <c r="M41" s="56" t="n"/>
    </row>
    <row r="42" ht="15.75" customHeight="1" s="42">
      <c r="B42" s="53" t="n">
        <v>2012</v>
      </c>
      <c r="C42" s="53" t="inlineStr">
        <is>
          <t>Jan</t>
        </is>
      </c>
      <c r="D42" s="53" t="inlineStr">
        <is>
          <t>Jan/2012</t>
        </is>
      </c>
      <c r="E42" s="54" t="n"/>
      <c r="F42" s="54" t="n"/>
      <c r="G42" s="54" t="n"/>
      <c r="H42" s="54" t="n"/>
      <c r="I42" s="54" t="n"/>
      <c r="J42" s="54" t="n"/>
      <c r="K42" s="53">
        <f>IF(E42&lt;&gt;E41,IF(E42="","",IF(E41="","","⬆ PROGRESSÃO")),"—")</f>
        <v/>
      </c>
      <c r="L42" s="54" t="n"/>
      <c r="M42" s="54" t="n"/>
    </row>
    <row r="43" ht="15.75" customHeight="1" s="42">
      <c r="B43" s="55" t="n">
        <v>2012</v>
      </c>
      <c r="C43" s="55" t="inlineStr">
        <is>
          <t>Fev</t>
        </is>
      </c>
      <c r="D43" s="55" t="inlineStr">
        <is>
          <t>Fev/2012</t>
        </is>
      </c>
      <c r="E43" s="56" t="n"/>
      <c r="F43" s="56" t="n"/>
      <c r="G43" s="56" t="n"/>
      <c r="H43" s="56" t="n"/>
      <c r="I43" s="56" t="n"/>
      <c r="J43" s="56" t="n"/>
      <c r="K43" s="55">
        <f>IF(E43&lt;&gt;E42,IF(E43="","",IF(E42="","","⬆ PROGRESSÃO")),"—")</f>
        <v/>
      </c>
      <c r="L43" s="56" t="n"/>
      <c r="M43" s="56" t="n"/>
    </row>
    <row r="44" ht="15.75" customHeight="1" s="42">
      <c r="B44" s="53" t="n">
        <v>2012</v>
      </c>
      <c r="C44" s="53" t="inlineStr">
        <is>
          <t>Mar</t>
        </is>
      </c>
      <c r="D44" s="53" t="inlineStr">
        <is>
          <t>Mar/2012</t>
        </is>
      </c>
      <c r="E44" s="54" t="n"/>
      <c r="F44" s="54" t="n"/>
      <c r="G44" s="54" t="n"/>
      <c r="H44" s="54" t="n"/>
      <c r="I44" s="54" t="n"/>
      <c r="J44" s="54" t="n"/>
      <c r="K44" s="53">
        <f>IF(E44&lt;&gt;E43,IF(E44="","",IF(E43="","","⬆ PROGRESSÃO")),"—")</f>
        <v/>
      </c>
      <c r="L44" s="54" t="n"/>
      <c r="M44" s="54" t="n"/>
    </row>
    <row r="45" ht="15.75" customHeight="1" s="42">
      <c r="B45" s="55" t="n">
        <v>2012</v>
      </c>
      <c r="C45" s="55" t="inlineStr">
        <is>
          <t>Abr</t>
        </is>
      </c>
      <c r="D45" s="55" t="inlineStr">
        <is>
          <t>Abr/2012</t>
        </is>
      </c>
      <c r="E45" s="56" t="n"/>
      <c r="F45" s="56" t="n"/>
      <c r="G45" s="56" t="n"/>
      <c r="H45" s="56" t="n"/>
      <c r="I45" s="56" t="n"/>
      <c r="J45" s="56" t="n"/>
      <c r="K45" s="55">
        <f>IF(E45&lt;&gt;E44,IF(E45="","",IF(E44="","","⬆ PROGRESSÃO")),"—")</f>
        <v/>
      </c>
      <c r="L45" s="56" t="n"/>
      <c r="M45" s="56" t="n"/>
    </row>
    <row r="46" ht="15.75" customHeight="1" s="42">
      <c r="B46" s="53" t="n">
        <v>2012</v>
      </c>
      <c r="C46" s="53" t="inlineStr">
        <is>
          <t>Mai</t>
        </is>
      </c>
      <c r="D46" s="53" t="inlineStr">
        <is>
          <t>Mai/2012</t>
        </is>
      </c>
      <c r="E46" s="54" t="n"/>
      <c r="F46" s="54" t="n"/>
      <c r="G46" s="54" t="n"/>
      <c r="H46" s="54" t="n"/>
      <c r="I46" s="54" t="n"/>
      <c r="J46" s="54" t="n"/>
      <c r="K46" s="53">
        <f>IF(E46&lt;&gt;E45,IF(E46="","",IF(E45="","","⬆ PROGRESSÃO")),"—")</f>
        <v/>
      </c>
      <c r="L46" s="54" t="n"/>
      <c r="M46" s="54" t="n"/>
    </row>
    <row r="47" ht="15.75" customHeight="1" s="42">
      <c r="B47" s="55" t="n">
        <v>2012</v>
      </c>
      <c r="C47" s="55" t="inlineStr">
        <is>
          <t>Jun</t>
        </is>
      </c>
      <c r="D47" s="55" t="inlineStr">
        <is>
          <t>Jun/2012</t>
        </is>
      </c>
      <c r="E47" s="56" t="n"/>
      <c r="F47" s="56" t="n"/>
      <c r="G47" s="56" t="n"/>
      <c r="H47" s="56" t="n"/>
      <c r="I47" s="56" t="n"/>
      <c r="J47" s="56" t="n"/>
      <c r="K47" s="55">
        <f>IF(E47&lt;&gt;E46,IF(E47="","",IF(E46="","","⬆ PROGRESSÃO")),"—")</f>
        <v/>
      </c>
      <c r="L47" s="56" t="n"/>
      <c r="M47" s="56" t="n"/>
    </row>
    <row r="48" ht="15.75" customHeight="1" s="42">
      <c r="B48" s="53" t="n">
        <v>2012</v>
      </c>
      <c r="C48" s="53" t="inlineStr">
        <is>
          <t>Jul</t>
        </is>
      </c>
      <c r="D48" s="53" t="inlineStr">
        <is>
          <t>Jul/2012</t>
        </is>
      </c>
      <c r="E48" s="54" t="n"/>
      <c r="F48" s="54" t="n"/>
      <c r="G48" s="54" t="n"/>
      <c r="H48" s="54" t="n"/>
      <c r="I48" s="54" t="n"/>
      <c r="J48" s="54" t="n"/>
      <c r="K48" s="53">
        <f>IF(E48&lt;&gt;E47,IF(E48="","",IF(E47="","","⬆ PROGRESSÃO")),"—")</f>
        <v/>
      </c>
      <c r="L48" s="54" t="n"/>
      <c r="M48" s="54" t="n"/>
    </row>
    <row r="49" ht="15.75" customHeight="1" s="42">
      <c r="B49" s="55" t="n">
        <v>2012</v>
      </c>
      <c r="C49" s="55" t="inlineStr">
        <is>
          <t>Ago</t>
        </is>
      </c>
      <c r="D49" s="55" t="inlineStr">
        <is>
          <t>Ago/2012</t>
        </is>
      </c>
      <c r="E49" s="56" t="n"/>
      <c r="F49" s="56" t="n"/>
      <c r="G49" s="56" t="n"/>
      <c r="H49" s="56" t="n"/>
      <c r="I49" s="56" t="n"/>
      <c r="J49" s="56" t="n"/>
      <c r="K49" s="55">
        <f>IF(E49&lt;&gt;E48,IF(E49="","",IF(E48="","","⬆ PROGRESSÃO")),"—")</f>
        <v/>
      </c>
      <c r="L49" s="56" t="n"/>
      <c r="M49" s="56" t="n"/>
    </row>
    <row r="50" ht="15.75" customHeight="1" s="42">
      <c r="B50" s="53" t="n">
        <v>2012</v>
      </c>
      <c r="C50" s="53" t="inlineStr">
        <is>
          <t>Set</t>
        </is>
      </c>
      <c r="D50" s="53" t="inlineStr">
        <is>
          <t>Set/2012</t>
        </is>
      </c>
      <c r="E50" s="54" t="n"/>
      <c r="F50" s="54" t="n"/>
      <c r="G50" s="54" t="n"/>
      <c r="H50" s="54" t="n"/>
      <c r="I50" s="54" t="n"/>
      <c r="J50" s="54" t="n"/>
      <c r="K50" s="53">
        <f>IF(E50&lt;&gt;E49,IF(E50="","",IF(E49="","","⬆ PROGRESSÃO")),"—")</f>
        <v/>
      </c>
      <c r="L50" s="54" t="n"/>
      <c r="M50" s="54" t="n"/>
    </row>
    <row r="51" ht="15.75" customHeight="1" s="42">
      <c r="B51" s="55" t="n">
        <v>2012</v>
      </c>
      <c r="C51" s="55" t="inlineStr">
        <is>
          <t>Out</t>
        </is>
      </c>
      <c r="D51" s="55" t="inlineStr">
        <is>
          <t>Out/2012</t>
        </is>
      </c>
      <c r="E51" s="56" t="n"/>
      <c r="F51" s="56" t="n"/>
      <c r="G51" s="56" t="n"/>
      <c r="H51" s="56" t="n"/>
      <c r="I51" s="56" t="n"/>
      <c r="J51" s="56" t="n"/>
      <c r="K51" s="55">
        <f>IF(E51&lt;&gt;E50,IF(E51="","",IF(E50="","","⬆ PROGRESSÃO")),"—")</f>
        <v/>
      </c>
      <c r="L51" s="56" t="n"/>
      <c r="M51" s="56" t="n"/>
    </row>
    <row r="52" ht="15.75" customHeight="1" s="42">
      <c r="B52" s="53" t="n">
        <v>2012</v>
      </c>
      <c r="C52" s="53" t="inlineStr">
        <is>
          <t>Nov</t>
        </is>
      </c>
      <c r="D52" s="53" t="inlineStr">
        <is>
          <t>Nov/2012</t>
        </is>
      </c>
      <c r="E52" s="54" t="n"/>
      <c r="F52" s="54" t="n"/>
      <c r="G52" s="54" t="n"/>
      <c r="H52" s="54" t="n"/>
      <c r="I52" s="54" t="n"/>
      <c r="J52" s="54" t="n"/>
      <c r="K52" s="53">
        <f>IF(E52&lt;&gt;E51,IF(E52="","",IF(E51="","","⬆ PROGRESSÃO")),"—")</f>
        <v/>
      </c>
      <c r="L52" s="54" t="n"/>
      <c r="M52" s="54" t="n"/>
    </row>
    <row r="53" ht="15.75" customHeight="1" s="42">
      <c r="B53" s="55" t="n">
        <v>2012</v>
      </c>
      <c r="C53" s="55" t="inlineStr">
        <is>
          <t>Dez</t>
        </is>
      </c>
      <c r="D53" s="55" t="inlineStr">
        <is>
          <t>Dez/2012</t>
        </is>
      </c>
      <c r="E53" s="56" t="n"/>
      <c r="F53" s="56" t="n"/>
      <c r="G53" s="56" t="n"/>
      <c r="H53" s="56" t="n"/>
      <c r="I53" s="56" t="n"/>
      <c r="J53" s="56" t="n"/>
      <c r="K53" s="55">
        <f>IF(E53&lt;&gt;E52,IF(E53="","",IF(E52="","","⬆ PROGRESSÃO")),"—")</f>
        <v/>
      </c>
      <c r="L53" s="56" t="n"/>
      <c r="M53" s="56" t="n"/>
    </row>
    <row r="54" ht="15.75" customHeight="1" s="42">
      <c r="B54" s="53" t="n">
        <v>2013</v>
      </c>
      <c r="C54" s="53" t="inlineStr">
        <is>
          <t>Jan</t>
        </is>
      </c>
      <c r="D54" s="53" t="inlineStr">
        <is>
          <t>Jan/2013</t>
        </is>
      </c>
      <c r="E54" s="54" t="n"/>
      <c r="F54" s="54" t="n"/>
      <c r="G54" s="54" t="n"/>
      <c r="H54" s="54" t="n"/>
      <c r="I54" s="54" t="n"/>
      <c r="J54" s="54" t="n"/>
      <c r="K54" s="53">
        <f>IF(E54&lt;&gt;E53,IF(E54="","",IF(E53="","","⬆ PROGRESSÃO")),"—")</f>
        <v/>
      </c>
      <c r="L54" s="54" t="n"/>
      <c r="M54" s="54" t="n"/>
    </row>
    <row r="55" ht="15.75" customHeight="1" s="42">
      <c r="B55" s="55" t="n">
        <v>2013</v>
      </c>
      <c r="C55" s="55" t="inlineStr">
        <is>
          <t>Fev</t>
        </is>
      </c>
      <c r="D55" s="55" t="inlineStr">
        <is>
          <t>Fev/2013</t>
        </is>
      </c>
      <c r="E55" s="56" t="n"/>
      <c r="F55" s="56" t="n"/>
      <c r="G55" s="56" t="n"/>
      <c r="H55" s="56" t="n"/>
      <c r="I55" s="56" t="n"/>
      <c r="J55" s="56" t="n"/>
      <c r="K55" s="55">
        <f>IF(E55&lt;&gt;E54,IF(E55="","",IF(E54="","","⬆ PROGRESSÃO")),"—")</f>
        <v/>
      </c>
      <c r="L55" s="56" t="n"/>
      <c r="M55" s="56" t="n"/>
    </row>
    <row r="56" ht="15.75" customHeight="1" s="42">
      <c r="B56" s="53" t="n">
        <v>2013</v>
      </c>
      <c r="C56" s="53" t="inlineStr">
        <is>
          <t>Mar</t>
        </is>
      </c>
      <c r="D56" s="53" t="inlineStr">
        <is>
          <t>Mar/2013</t>
        </is>
      </c>
      <c r="E56" s="54" t="n"/>
      <c r="F56" s="54" t="n"/>
      <c r="G56" s="54" t="n"/>
      <c r="H56" s="54" t="n"/>
      <c r="I56" s="54" t="n"/>
      <c r="J56" s="54" t="n"/>
      <c r="K56" s="53">
        <f>IF(E56&lt;&gt;E55,IF(E56="","",IF(E55="","","⬆ PROGRESSÃO")),"—")</f>
        <v/>
      </c>
      <c r="L56" s="54" t="n"/>
      <c r="M56" s="54" t="n"/>
    </row>
    <row r="57" ht="15.75" customHeight="1" s="42">
      <c r="B57" s="55" t="n">
        <v>2013</v>
      </c>
      <c r="C57" s="55" t="inlineStr">
        <is>
          <t>Abr</t>
        </is>
      </c>
      <c r="D57" s="55" t="inlineStr">
        <is>
          <t>Abr/2013</t>
        </is>
      </c>
      <c r="E57" s="56" t="n"/>
      <c r="F57" s="56" t="n"/>
      <c r="G57" s="56" t="n"/>
      <c r="H57" s="56" t="n"/>
      <c r="I57" s="56" t="n"/>
      <c r="J57" s="56" t="n"/>
      <c r="K57" s="55">
        <f>IF(E57&lt;&gt;E56,IF(E57="","",IF(E56="","","⬆ PROGRESSÃO")),"—")</f>
        <v/>
      </c>
      <c r="L57" s="56" t="n"/>
      <c r="M57" s="56" t="n"/>
    </row>
    <row r="58" ht="15.75" customHeight="1" s="42">
      <c r="B58" s="53" t="n">
        <v>2013</v>
      </c>
      <c r="C58" s="53" t="inlineStr">
        <is>
          <t>Mai</t>
        </is>
      </c>
      <c r="D58" s="53" t="inlineStr">
        <is>
          <t>Mai/2013</t>
        </is>
      </c>
      <c r="E58" s="54" t="n"/>
      <c r="F58" s="54" t="n"/>
      <c r="G58" s="54" t="n"/>
      <c r="H58" s="54" t="n"/>
      <c r="I58" s="54" t="n"/>
      <c r="J58" s="54" t="n"/>
      <c r="K58" s="53">
        <f>IF(E58&lt;&gt;E57,IF(E58="","",IF(E57="","","⬆ PROGRESSÃO")),"—")</f>
        <v/>
      </c>
      <c r="L58" s="54" t="n"/>
      <c r="M58" s="54" t="n"/>
    </row>
    <row r="59" ht="15.75" customHeight="1" s="42">
      <c r="B59" s="55" t="n">
        <v>2013</v>
      </c>
      <c r="C59" s="55" t="inlineStr">
        <is>
          <t>Jun</t>
        </is>
      </c>
      <c r="D59" s="55" t="inlineStr">
        <is>
          <t>Jun/2013</t>
        </is>
      </c>
      <c r="E59" s="56" t="n"/>
      <c r="F59" s="56" t="n"/>
      <c r="G59" s="56" t="n"/>
      <c r="H59" s="56" t="n"/>
      <c r="I59" s="56" t="n"/>
      <c r="J59" s="56" t="n"/>
      <c r="K59" s="55">
        <f>IF(E59&lt;&gt;E58,IF(E59="","",IF(E58="","","⬆ PROGRESSÃO")),"—")</f>
        <v/>
      </c>
      <c r="L59" s="56" t="n"/>
      <c r="M59" s="56" t="n"/>
    </row>
    <row r="60" ht="15.75" customHeight="1" s="42">
      <c r="B60" s="53" t="n">
        <v>2013</v>
      </c>
      <c r="C60" s="53" t="inlineStr">
        <is>
          <t>Jul</t>
        </is>
      </c>
      <c r="D60" s="53" t="inlineStr">
        <is>
          <t>Jul/2013</t>
        </is>
      </c>
      <c r="E60" s="54" t="n"/>
      <c r="F60" s="54" t="n"/>
      <c r="G60" s="54" t="n"/>
      <c r="H60" s="54" t="n"/>
      <c r="I60" s="54" t="n"/>
      <c r="J60" s="54" t="n"/>
      <c r="K60" s="53">
        <f>IF(E60&lt;&gt;E59,IF(E60="","",IF(E59="","","⬆ PROGRESSÃO")),"—")</f>
        <v/>
      </c>
      <c r="L60" s="54" t="n"/>
      <c r="M60" s="54" t="n"/>
    </row>
    <row r="61" ht="15.75" customHeight="1" s="42">
      <c r="B61" s="55" t="n">
        <v>2013</v>
      </c>
      <c r="C61" s="55" t="inlineStr">
        <is>
          <t>Ago</t>
        </is>
      </c>
      <c r="D61" s="55" t="inlineStr">
        <is>
          <t>Ago/2013</t>
        </is>
      </c>
      <c r="E61" s="56" t="n"/>
      <c r="F61" s="56" t="n"/>
      <c r="G61" s="56" t="n"/>
      <c r="H61" s="56" t="n"/>
      <c r="I61" s="56" t="n"/>
      <c r="J61" s="56" t="n"/>
      <c r="K61" s="55">
        <f>IF(E61&lt;&gt;E60,IF(E61="","",IF(E60="","","⬆ PROGRESSÃO")),"—")</f>
        <v/>
      </c>
      <c r="L61" s="56" t="n"/>
      <c r="M61" s="56" t="n"/>
    </row>
    <row r="62" ht="15.75" customHeight="1" s="42">
      <c r="B62" s="53" t="n">
        <v>2013</v>
      </c>
      <c r="C62" s="53" t="inlineStr">
        <is>
          <t>Set</t>
        </is>
      </c>
      <c r="D62" s="53" t="inlineStr">
        <is>
          <t>Set/2013</t>
        </is>
      </c>
      <c r="E62" s="54" t="n"/>
      <c r="F62" s="54" t="n"/>
      <c r="G62" s="54" t="n"/>
      <c r="H62" s="54" t="n"/>
      <c r="I62" s="54" t="n"/>
      <c r="J62" s="54" t="n"/>
      <c r="K62" s="53">
        <f>IF(E62&lt;&gt;E61,IF(E62="","",IF(E61="","","⬆ PROGRESSÃO")),"—")</f>
        <v/>
      </c>
      <c r="L62" s="54" t="n"/>
      <c r="M62" s="54" t="n"/>
    </row>
    <row r="63" ht="15.75" customHeight="1" s="42">
      <c r="B63" s="55" t="n">
        <v>2013</v>
      </c>
      <c r="C63" s="55" t="inlineStr">
        <is>
          <t>Out</t>
        </is>
      </c>
      <c r="D63" s="55" t="inlineStr">
        <is>
          <t>Out/2013</t>
        </is>
      </c>
      <c r="E63" s="56" t="n"/>
      <c r="F63" s="56" t="n"/>
      <c r="G63" s="56" t="n"/>
      <c r="H63" s="56" t="n"/>
      <c r="I63" s="56" t="n"/>
      <c r="J63" s="56" t="n"/>
      <c r="K63" s="55">
        <f>IF(E63&lt;&gt;E62,IF(E63="","",IF(E62="","","⬆ PROGRESSÃO")),"—")</f>
        <v/>
      </c>
      <c r="L63" s="56" t="n"/>
      <c r="M63" s="56" t="n"/>
    </row>
    <row r="64" ht="15.75" customHeight="1" s="42">
      <c r="B64" s="53" t="n">
        <v>2013</v>
      </c>
      <c r="C64" s="53" t="inlineStr">
        <is>
          <t>Nov</t>
        </is>
      </c>
      <c r="D64" s="53" t="inlineStr">
        <is>
          <t>Nov/2013</t>
        </is>
      </c>
      <c r="E64" s="54" t="n"/>
      <c r="F64" s="54" t="n"/>
      <c r="G64" s="54" t="n"/>
      <c r="H64" s="54" t="n"/>
      <c r="I64" s="54" t="n"/>
      <c r="J64" s="54" t="n"/>
      <c r="K64" s="53">
        <f>IF(E64&lt;&gt;E63,IF(E64="","",IF(E63="","","⬆ PROGRESSÃO")),"—")</f>
        <v/>
      </c>
      <c r="L64" s="54" t="n"/>
      <c r="M64" s="54" t="n"/>
    </row>
    <row r="65" ht="15.75" customHeight="1" s="42">
      <c r="B65" s="55" t="n">
        <v>2013</v>
      </c>
      <c r="C65" s="55" t="inlineStr">
        <is>
          <t>Dez</t>
        </is>
      </c>
      <c r="D65" s="55" t="inlineStr">
        <is>
          <t>Dez/2013</t>
        </is>
      </c>
      <c r="E65" s="56" t="n"/>
      <c r="F65" s="56" t="n"/>
      <c r="G65" s="56" t="n"/>
      <c r="H65" s="56" t="n"/>
      <c r="I65" s="56" t="n"/>
      <c r="J65" s="56" t="n"/>
      <c r="K65" s="55">
        <f>IF(E65&lt;&gt;E64,IF(E65="","",IF(E64="","","⬆ PROGRESSÃO")),"—")</f>
        <v/>
      </c>
      <c r="L65" s="56" t="n"/>
      <c r="M65" s="56" t="n"/>
    </row>
  </sheetData>
  <mergeCells count="2">
    <mergeCell ref="B2:M2"/>
    <mergeCell ref="B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I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1" min="1" max="1"/>
    <col width="12" customWidth="1" style="41" min="2" max="3"/>
    <col width="14" customWidth="1" style="41" min="4" max="5"/>
    <col width="16" customWidth="1" style="41" min="6" max="6"/>
    <col width="24" customWidth="1" style="41" min="7" max="7"/>
    <col width="28" customWidth="1" style="41" min="8" max="8"/>
    <col width="16" customWidth="1" style="41" min="9" max="9"/>
  </cols>
  <sheetData>
    <row r="1" ht="27.75" customHeight="1" s="42">
      <c r="B1" s="50" t="inlineStr">
        <is>
          <t>EVENTOS FUNCIONAIS — PROGRESSÕES E PROMOÇÕES DO PARADIGMA</t>
        </is>
      </c>
    </row>
    <row r="2" ht="21.75" customHeight="1" s="42">
      <c r="B2" s="61" t="inlineStr">
        <is>
          <t>Este é o documento mais importante: cada linha é uma prova de que o Autor teria progredido na mesma data. Buscar portarias no DOU para cada evento.</t>
        </is>
      </c>
    </row>
    <row r="3" ht="39.75" customHeight="1" s="42">
      <c r="B3" s="58" t="inlineStr">
        <is>
          <t>Nº</t>
        </is>
      </c>
      <c r="C3" s="58" t="inlineStr">
        <is>
          <t>Data (mm/aaaa)</t>
        </is>
      </c>
      <c r="D3" s="58" t="inlineStr">
        <is>
          <t>Tipo</t>
        </is>
      </c>
      <c r="E3" s="58" t="inlineStr">
        <is>
          <t>De (Classe/Padrão)</t>
        </is>
      </c>
      <c r="F3" s="58" t="inlineStr">
        <is>
          <t>Para (Classe/Padrão)</t>
        </is>
      </c>
      <c r="G3" s="58" t="inlineStr">
        <is>
          <t>Portaria / Ato Adm.</t>
        </is>
      </c>
      <c r="H3" s="58" t="inlineStr">
        <is>
          <t>Publicação DOU (data e página)</t>
        </is>
      </c>
      <c r="I3" s="58" t="inlineStr">
        <is>
          <t>VB após evento (R$)</t>
        </is>
      </c>
    </row>
    <row r="4" ht="19.5" customHeight="1" s="42">
      <c r="A4" s="62" t="n"/>
      <c r="B4" s="62" t="n">
        <v>1</v>
      </c>
      <c r="C4" s="63" t="inlineStr">
        <is>
          <t>Nov/2008</t>
        </is>
      </c>
      <c r="D4" s="64" t="inlineStr">
        <is>
          <t>Posse / Ingresso</t>
        </is>
      </c>
      <c r="E4" s="63" t="inlineStr">
        <is>
          <t>—</t>
        </is>
      </c>
      <c r="F4" s="63" t="inlineStr">
        <is>
          <t>A-I</t>
        </is>
      </c>
      <c r="G4" s="63" t="inlineStr">
        <is>
          <t>—</t>
        </is>
      </c>
      <c r="H4" s="63" t="inlineStr">
        <is>
          <t>DOU de publicação da nomeação</t>
        </is>
      </c>
      <c r="I4" s="63" t="n"/>
    </row>
    <row r="5" ht="19.5" customHeight="1" s="42">
      <c r="A5" s="65" t="n"/>
      <c r="B5" s="65" t="n">
        <v>2</v>
      </c>
      <c r="C5" s="66" t="inlineStr">
        <is>
          <t>~Mai/2010</t>
        </is>
      </c>
      <c r="D5" s="67" t="inlineStr">
        <is>
          <t>Progressão por Mérito</t>
        </is>
      </c>
      <c r="E5" s="66" t="inlineStr">
        <is>
          <t>A-I</t>
        </is>
      </c>
      <c r="F5" s="66" t="inlineStr">
        <is>
          <t>A-II</t>
        </is>
      </c>
      <c r="G5" s="66" t="inlineStr">
        <is>
          <t>Preencher após LAI/DOU</t>
        </is>
      </c>
      <c r="H5" s="66" t="inlineStr">
        <is>
          <t>Buscar: 'Anderson Vieira Lima INSS progressão'</t>
        </is>
      </c>
      <c r="I5" s="66" t="n"/>
    </row>
    <row r="6" ht="19.5" customHeight="1" s="42">
      <c r="A6" s="68" t="n"/>
      <c r="B6" s="68" t="n">
        <v>3</v>
      </c>
      <c r="C6" s="69" t="inlineStr">
        <is>
          <t>~Nov/2011</t>
        </is>
      </c>
      <c r="D6" s="70" t="inlineStr">
        <is>
          <t>Progressão por Antiguidade</t>
        </is>
      </c>
      <c r="E6" s="69" t="inlineStr">
        <is>
          <t>A-II</t>
        </is>
      </c>
      <c r="F6" s="69" t="inlineStr">
        <is>
          <t>A-III</t>
        </is>
      </c>
      <c r="G6" s="69" t="inlineStr">
        <is>
          <t>Preencher após LAI/DOU</t>
        </is>
      </c>
      <c r="H6" s="69" t="n"/>
      <c r="I6" s="69" t="n"/>
    </row>
    <row r="7" ht="19.5" customHeight="1" s="42">
      <c r="A7" s="65" t="n"/>
      <c r="B7" s="65" t="n">
        <v>4</v>
      </c>
      <c r="C7" s="66" t="inlineStr">
        <is>
          <t>~Mai/2013</t>
        </is>
      </c>
      <c r="D7" s="67" t="inlineStr">
        <is>
          <t>Progressão por Mérito</t>
        </is>
      </c>
      <c r="E7" s="66" t="inlineStr">
        <is>
          <t>A-III</t>
        </is>
      </c>
      <c r="F7" s="66" t="inlineStr">
        <is>
          <t>A-IV</t>
        </is>
      </c>
      <c r="G7" s="66" t="inlineStr">
        <is>
          <t>Preencher após LAI/DOU</t>
        </is>
      </c>
      <c r="H7" s="66" t="n"/>
      <c r="I7" s="66" t="n"/>
    </row>
    <row r="8" ht="19.5" customHeight="1" s="42">
      <c r="A8" s="68" t="n"/>
      <c r="B8" s="68" t="n">
        <v>5</v>
      </c>
      <c r="C8" s="69" t="inlineStr">
        <is>
          <t>~Nov/2014</t>
        </is>
      </c>
      <c r="D8" s="70" t="inlineStr">
        <is>
          <t>Progressão por Antiguidade</t>
        </is>
      </c>
      <c r="E8" s="69" t="inlineStr">
        <is>
          <t>A-IV</t>
        </is>
      </c>
      <c r="F8" s="69" t="inlineStr">
        <is>
          <t>A-V</t>
        </is>
      </c>
      <c r="G8" s="69" t="inlineStr">
        <is>
          <t>Preencher após LAI/DOU</t>
        </is>
      </c>
      <c r="H8" s="69" t="n"/>
      <c r="I8" s="69" t="n"/>
    </row>
    <row r="9" ht="19.5" customHeight="1" s="42">
      <c r="A9" s="71" t="n"/>
      <c r="B9" s="71" t="n">
        <v>6</v>
      </c>
      <c r="C9" s="72" t="inlineStr">
        <is>
          <t>~2016</t>
        </is>
      </c>
      <c r="D9" s="73" t="inlineStr">
        <is>
          <t>Promoção Classe B</t>
        </is>
      </c>
      <c r="E9" s="72" t="inlineStr">
        <is>
          <t>A-V</t>
        </is>
      </c>
      <c r="F9" s="72" t="inlineStr">
        <is>
          <t>B-I</t>
        </is>
      </c>
      <c r="G9" s="72" t="inlineStr">
        <is>
          <t>Verificar Lei 13.324/2016</t>
        </is>
      </c>
      <c r="H9" s="72" t="n"/>
      <c r="I9" s="72" t="n"/>
    </row>
    <row r="10" ht="19.5" customHeight="1" s="42">
      <c r="A10" s="68" t="n"/>
      <c r="B10" s="68" t="n">
        <v>7</v>
      </c>
      <c r="C10" s="69" t="inlineStr">
        <is>
          <t>~2018</t>
        </is>
      </c>
      <c r="D10" s="70" t="inlineStr">
        <is>
          <t>Progressão</t>
        </is>
      </c>
      <c r="E10" s="69" t="inlineStr">
        <is>
          <t>B-I</t>
        </is>
      </c>
      <c r="F10" s="69" t="inlineStr">
        <is>
          <t>B-II</t>
        </is>
      </c>
      <c r="G10" s="69" t="inlineStr">
        <is>
          <t>Preencher após LAI/DOU</t>
        </is>
      </c>
      <c r="H10" s="69" t="n"/>
      <c r="I10" s="69" t="n"/>
    </row>
    <row r="11" ht="19.5" customHeight="1" s="42">
      <c r="A11" s="65" t="n"/>
      <c r="B11" s="65" t="n">
        <v>8</v>
      </c>
      <c r="C11" s="66" t="inlineStr">
        <is>
          <t>~2020</t>
        </is>
      </c>
      <c r="D11" s="67" t="inlineStr">
        <is>
          <t>Progressão</t>
        </is>
      </c>
      <c r="E11" s="66" t="inlineStr">
        <is>
          <t>B-II</t>
        </is>
      </c>
      <c r="F11" s="66" t="inlineStr">
        <is>
          <t>B-III</t>
        </is>
      </c>
      <c r="G11" s="66" t="inlineStr">
        <is>
          <t>Preencher após LAI/DOU</t>
        </is>
      </c>
      <c r="H11" s="66" t="n"/>
      <c r="I11" s="66" t="n"/>
    </row>
    <row r="12" ht="19.5" customHeight="1" s="42">
      <c r="A12" s="71" t="n"/>
      <c r="B12" s="71" t="n">
        <v>9</v>
      </c>
      <c r="C12" s="72" t="inlineStr">
        <is>
          <t>~2022</t>
        </is>
      </c>
      <c r="D12" s="73" t="inlineStr">
        <is>
          <t>Promoção Classe C/Esp.</t>
        </is>
      </c>
      <c r="E12" s="72" t="inlineStr">
        <is>
          <t>B-III</t>
        </is>
      </c>
      <c r="F12" s="72" t="inlineStr">
        <is>
          <t>C-I ou Esp.</t>
        </is>
      </c>
      <c r="G12" s="72" t="inlineStr">
        <is>
          <t>Verificar legislação vigente</t>
        </is>
      </c>
      <c r="H12" s="72" t="n"/>
      <c r="I12" s="72" t="n"/>
    </row>
    <row r="13" ht="19.5" customHeight="1" s="42">
      <c r="A13" s="65" t="n"/>
      <c r="B13" s="65" t="n">
        <v>10</v>
      </c>
      <c r="C13" s="66" t="inlineStr">
        <is>
          <t>2026</t>
        </is>
      </c>
      <c r="D13" s="67" t="inlineStr">
        <is>
          <t>Posição atual</t>
        </is>
      </c>
      <c r="E13" s="66" t="inlineStr">
        <is>
          <t>Verificar Portal</t>
        </is>
      </c>
      <c r="F13" s="66" t="inlineStr">
        <is>
          <t>Verificar Portal</t>
        </is>
      </c>
      <c r="G13" s="66" t="inlineStr">
        <is>
          <t>Portal da Transparência</t>
        </is>
      </c>
      <c r="H13" s="66" t="inlineStr">
        <is>
          <t>Confirmar classe/padrão atual</t>
        </is>
      </c>
      <c r="I13" s="66" t="n"/>
    </row>
    <row r="16" ht="39.75" customHeight="1" s="42">
      <c r="B16" s="74" t="inlineStr">
        <is>
          <t>NOTA: Os eventos acima são estimativas baseadas nos interstícios legais (18 meses por progressão). Confirmar datas exatas via LAI e DOU. A Lei 11.355/2006 e a Lei 13.324/2016 estruturam a carreira de Técnico do Seguro Social.</t>
        </is>
      </c>
      <c r="C16" s="47" t="n"/>
      <c r="D16" s="47" t="n"/>
      <c r="E16" s="47" t="n"/>
      <c r="F16" s="47" t="n"/>
      <c r="G16" s="47" t="n"/>
      <c r="H16" s="47" t="n"/>
      <c r="I16" s="47" t="n"/>
    </row>
  </sheetData>
  <mergeCells count="3">
    <mergeCell ref="B1:I1"/>
    <mergeCell ref="B16:I16"/>
    <mergeCell ref="B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B1:K19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1" min="1" max="1"/>
    <col width="10" customWidth="1" style="41" min="2" max="3"/>
    <col width="14" customWidth="1" style="41" min="4" max="4"/>
    <col width="16" customWidth="1" style="41" min="5" max="5"/>
    <col width="14" customWidth="1" style="41" min="6" max="9"/>
    <col width="18" customWidth="1" style="41" min="10" max="10"/>
    <col width="20" customWidth="1" style="41" min="11" max="11"/>
  </cols>
  <sheetData>
    <row r="1" ht="27.75" customHeight="1" s="42">
      <c r="B1" s="75" t="inlineStr">
        <is>
          <t>MATRIZ ESPELHO — CARREIRA PROJETADA DO AUTOR (BASEADA NO PARADIGMA)</t>
        </is>
      </c>
    </row>
    <row r="2" ht="18" customHeight="1" s="42">
      <c r="B2" s="76" t="inlineStr">
        <is>
          <t>Esta aba calcula o que o Autor DEVERIA ter recebido mês a mês. Diferença = lucros cessantes. Base para perícia contábil.</t>
        </is>
      </c>
    </row>
    <row r="3" ht="39.75" customHeight="1" s="42">
      <c r="B3" s="58" t="inlineStr">
        <is>
          <t>Ano</t>
        </is>
      </c>
      <c r="C3" s="58" t="inlineStr">
        <is>
          <t>Mês</t>
        </is>
      </c>
      <c r="D3" s="58" t="inlineStr">
        <is>
          <t>Mês/Ano</t>
        </is>
      </c>
      <c r="E3" s="58" t="inlineStr">
        <is>
          <t>VB Paradigma (R$)</t>
        </is>
      </c>
      <c r="F3" s="58" t="inlineStr">
        <is>
          <t>GAE 160% (R$)</t>
        </is>
      </c>
      <c r="G3" s="58" t="inlineStr">
        <is>
          <t>GDASS Estimado (R$)</t>
        </is>
      </c>
      <c r="H3" s="58" t="inlineStr">
        <is>
          <t>Total Bruto Est. (R$)</t>
        </is>
      </c>
      <c r="I3" s="58" t="inlineStr">
        <is>
          <t>Recebido Autor (R$)</t>
        </is>
      </c>
      <c r="J3" s="58" t="inlineStr">
        <is>
          <t>Diferença/mês (R$)</t>
        </is>
      </c>
      <c r="K3" s="58" t="inlineStr">
        <is>
          <t>Classe/Padrão Esperado</t>
        </is>
      </c>
    </row>
    <row r="4" ht="15.75" customHeight="1" s="42">
      <c r="B4" s="68" t="n">
        <v>2011</v>
      </c>
      <c r="C4" s="68" t="inlineStr">
        <is>
          <t>Jan</t>
        </is>
      </c>
      <c r="D4" s="69" t="inlineStr">
        <is>
          <t>Jan/2011</t>
        </is>
      </c>
      <c r="E4" s="69" t="n">
        <v>532.65</v>
      </c>
      <c r="F4" s="69">
        <f>IF(E4="","",E4*1.6)</f>
        <v/>
      </c>
      <c r="G4" s="69" t="n">
        <v>2672</v>
      </c>
      <c r="H4" s="69">
        <f>IF(E4="","",E4+F4+IF(G4="",0,G4))</f>
        <v/>
      </c>
      <c r="I4" s="69" t="n"/>
      <c r="J4" s="77">
        <f>IF(OR(H4="",I4=""),"",H4-I4)</f>
        <v/>
      </c>
      <c r="K4" s="69" t="inlineStr">
        <is>
          <t>Classe A, Padrão I</t>
        </is>
      </c>
    </row>
    <row r="5" ht="15.75" customHeight="1" s="42">
      <c r="B5" s="65" t="n">
        <v>2011</v>
      </c>
      <c r="C5" s="65" t="inlineStr">
        <is>
          <t>Fev</t>
        </is>
      </c>
      <c r="D5" s="66" t="inlineStr">
        <is>
          <t>Fev/2011</t>
        </is>
      </c>
      <c r="E5" s="66" t="n">
        <v>532.65</v>
      </c>
      <c r="F5" s="66">
        <f>IF(E5="","",E5*1.6)</f>
        <v/>
      </c>
      <c r="G5" s="66" t="n">
        <v>2672</v>
      </c>
      <c r="H5" s="66">
        <f>IF(E5="","",E5+F5+IF(G5="",0,G5))</f>
        <v/>
      </c>
      <c r="I5" s="66" t="n"/>
      <c r="J5" s="77">
        <f>IF(OR(H5="",I5=""),"",H5-I5)</f>
        <v/>
      </c>
      <c r="K5" s="66" t="inlineStr">
        <is>
          <t>Classe A, Padrão I</t>
        </is>
      </c>
    </row>
    <row r="6" ht="15.75" customHeight="1" s="42">
      <c r="B6" s="68" t="n">
        <v>2011</v>
      </c>
      <c r="C6" s="68" t="inlineStr">
        <is>
          <t>Mar</t>
        </is>
      </c>
      <c r="D6" s="69" t="inlineStr">
        <is>
          <t>Mar/2011</t>
        </is>
      </c>
      <c r="E6" s="69" t="n">
        <v>532.65</v>
      </c>
      <c r="F6" s="69">
        <f>IF(E6="","",E6*1.6)</f>
        <v/>
      </c>
      <c r="G6" s="69" t="n">
        <v>2672</v>
      </c>
      <c r="H6" s="69">
        <f>IF(E6="","",E6+F6+IF(G6="",0,G6))</f>
        <v/>
      </c>
      <c r="I6" s="69" t="n"/>
      <c r="J6" s="77">
        <f>IF(OR(H6="",I6=""),"",H6-I6)</f>
        <v/>
      </c>
      <c r="K6" s="69" t="inlineStr">
        <is>
          <t>Classe A, Padrão I</t>
        </is>
      </c>
    </row>
    <row r="7" ht="15.75" customHeight="1" s="42">
      <c r="B7" s="65" t="n">
        <v>2011</v>
      </c>
      <c r="C7" s="65" t="inlineStr">
        <is>
          <t>Abr</t>
        </is>
      </c>
      <c r="D7" s="66" t="inlineStr">
        <is>
          <t>Abr/2011</t>
        </is>
      </c>
      <c r="E7" s="66" t="n">
        <v>532.65</v>
      </c>
      <c r="F7" s="66">
        <f>IF(E7="","",E7*1.6)</f>
        <v/>
      </c>
      <c r="G7" s="66" t="n">
        <v>2672</v>
      </c>
      <c r="H7" s="66">
        <f>IF(E7="","",E7+F7+IF(G7="",0,G7))</f>
        <v/>
      </c>
      <c r="I7" s="66" t="n"/>
      <c r="J7" s="77">
        <f>IF(OR(H7="",I7=""),"",H7-I7)</f>
        <v/>
      </c>
      <c r="K7" s="66" t="inlineStr">
        <is>
          <t>Classe A, Padrão I</t>
        </is>
      </c>
    </row>
    <row r="8" ht="15.75" customHeight="1" s="42">
      <c r="B8" s="68" t="n">
        <v>2011</v>
      </c>
      <c r="C8" s="68" t="inlineStr">
        <is>
          <t>Mai</t>
        </is>
      </c>
      <c r="D8" s="69" t="inlineStr">
        <is>
          <t>Mai/2011</t>
        </is>
      </c>
      <c r="E8" s="69" t="n">
        <v>545.55</v>
      </c>
      <c r="F8" s="69">
        <f>IF(E8="","",E8*1.6)</f>
        <v/>
      </c>
      <c r="G8" s="69" t="n">
        <v>2736</v>
      </c>
      <c r="H8" s="69">
        <f>IF(E8="","",E8+F8+IF(G8="",0,G8))</f>
        <v/>
      </c>
      <c r="I8" s="69" t="n"/>
      <c r="J8" s="77">
        <f>IF(OR(H8="",I8=""),"",H8-I8)</f>
        <v/>
      </c>
      <c r="K8" s="69" t="inlineStr">
        <is>
          <t>Classe A, Padrão II</t>
        </is>
      </c>
    </row>
    <row r="9" ht="15.75" customHeight="1" s="42">
      <c r="B9" s="65" t="n">
        <v>2011</v>
      </c>
      <c r="C9" s="65" t="inlineStr">
        <is>
          <t>Jun</t>
        </is>
      </c>
      <c r="D9" s="66" t="inlineStr">
        <is>
          <t>Jun/2011</t>
        </is>
      </c>
      <c r="E9" s="66" t="n">
        <v>545.55</v>
      </c>
      <c r="F9" s="66">
        <f>IF(E9="","",E9*1.6)</f>
        <v/>
      </c>
      <c r="G9" s="66" t="n">
        <v>2736</v>
      </c>
      <c r="H9" s="66">
        <f>IF(E9="","",E9+F9+IF(G9="",0,G9))</f>
        <v/>
      </c>
      <c r="I9" s="66" t="n"/>
      <c r="J9" s="77">
        <f>IF(OR(H9="",I9=""),"",H9-I9)</f>
        <v/>
      </c>
      <c r="K9" s="66" t="inlineStr">
        <is>
          <t>Classe A, Padrão II</t>
        </is>
      </c>
    </row>
    <row r="10" ht="15.75" customHeight="1" s="42">
      <c r="B10" s="68" t="n">
        <v>2011</v>
      </c>
      <c r="C10" s="68" t="inlineStr">
        <is>
          <t>Jul</t>
        </is>
      </c>
      <c r="D10" s="69" t="inlineStr">
        <is>
          <t>Jul/2011</t>
        </is>
      </c>
      <c r="E10" s="69" t="n">
        <v>545.55</v>
      </c>
      <c r="F10" s="69">
        <f>IF(E10="","",E10*1.6)</f>
        <v/>
      </c>
      <c r="G10" s="69" t="n">
        <v>2892</v>
      </c>
      <c r="H10" s="69">
        <f>IF(E10="","",E10+F10+IF(G10="",0,G10))</f>
        <v/>
      </c>
      <c r="I10" s="69" t="n"/>
      <c r="J10" s="77">
        <f>IF(OR(H10="",I10=""),"",H10-I10)</f>
        <v/>
      </c>
      <c r="K10" s="69" t="inlineStr">
        <is>
          <t>Classe A, Padrão II</t>
        </is>
      </c>
    </row>
    <row r="11" ht="15.75" customHeight="1" s="42">
      <c r="B11" s="65" t="n">
        <v>2011</v>
      </c>
      <c r="C11" s="65" t="inlineStr">
        <is>
          <t>Ago</t>
        </is>
      </c>
      <c r="D11" s="66" t="inlineStr">
        <is>
          <t>Ago/2011</t>
        </is>
      </c>
      <c r="E11" s="66" t="n">
        <v>545.55</v>
      </c>
      <c r="F11" s="66">
        <f>IF(E11="","",E11*1.6)</f>
        <v/>
      </c>
      <c r="G11" s="66" t="n">
        <v>2892</v>
      </c>
      <c r="H11" s="66">
        <f>IF(E11="","",E11+F11+IF(G11="",0,G11))</f>
        <v/>
      </c>
      <c r="I11" s="66" t="n"/>
      <c r="J11" s="77">
        <f>IF(OR(H11="",I11=""),"",H11-I11)</f>
        <v/>
      </c>
      <c r="K11" s="66" t="inlineStr">
        <is>
          <t>Classe A, Padrão II</t>
        </is>
      </c>
    </row>
    <row r="12" ht="15.75" customHeight="1" s="42">
      <c r="B12" s="68" t="n">
        <v>2011</v>
      </c>
      <c r="C12" s="68" t="inlineStr">
        <is>
          <t>Set</t>
        </is>
      </c>
      <c r="D12" s="69" t="inlineStr">
        <is>
          <t>Set/2011</t>
        </is>
      </c>
      <c r="E12" s="69" t="n">
        <v>545.55</v>
      </c>
      <c r="F12" s="69">
        <f>IF(E12="","",E12*1.6)</f>
        <v/>
      </c>
      <c r="G12" s="69" t="n">
        <v>2892</v>
      </c>
      <c r="H12" s="69">
        <f>IF(E12="","",E12+F12+IF(G12="",0,G12))</f>
        <v/>
      </c>
      <c r="I12" s="69" t="n"/>
      <c r="J12" s="77">
        <f>IF(OR(H12="",I12=""),"",H12-I12)</f>
        <v/>
      </c>
      <c r="K12" s="69" t="inlineStr">
        <is>
          <t>Classe A, Padrão II</t>
        </is>
      </c>
    </row>
    <row r="13" ht="15.75" customHeight="1" s="42">
      <c r="B13" s="65" t="n">
        <v>2011</v>
      </c>
      <c r="C13" s="65" t="inlineStr">
        <is>
          <t>Out</t>
        </is>
      </c>
      <c r="D13" s="66" t="inlineStr">
        <is>
          <t>Out/2011</t>
        </is>
      </c>
      <c r="E13" s="66" t="n">
        <v>545.55</v>
      </c>
      <c r="F13" s="66">
        <f>IF(E13="","",E13*1.6)</f>
        <v/>
      </c>
      <c r="G13" s="66" t="n">
        <v>2892</v>
      </c>
      <c r="H13" s="66">
        <f>IF(E13="","",E13+F13+IF(G13="",0,G13))</f>
        <v/>
      </c>
      <c r="I13" s="66" t="n"/>
      <c r="J13" s="77">
        <f>IF(OR(H13="",I13=""),"",H13-I13)</f>
        <v/>
      </c>
      <c r="K13" s="66" t="inlineStr">
        <is>
          <t>Classe A, Padrão II</t>
        </is>
      </c>
    </row>
    <row r="14" ht="15.75" customHeight="1" s="42">
      <c r="B14" s="68" t="n">
        <v>2011</v>
      </c>
      <c r="C14" s="68" t="inlineStr">
        <is>
          <t>Nov</t>
        </is>
      </c>
      <c r="D14" s="69" t="inlineStr">
        <is>
          <t>Nov/2011</t>
        </is>
      </c>
      <c r="E14" s="69" t="n">
        <v>545.55</v>
      </c>
      <c r="F14" s="69">
        <f>IF(E14="","",E14*1.6)</f>
        <v/>
      </c>
      <c r="G14" s="69" t="n">
        <v>2892</v>
      </c>
      <c r="H14" s="69">
        <f>IF(E14="","",E14+F14+IF(G14="",0,G14))</f>
        <v/>
      </c>
      <c r="I14" s="69" t="n"/>
      <c r="J14" s="77">
        <f>IF(OR(H14="",I14=""),"",H14-I14)</f>
        <v/>
      </c>
      <c r="K14" s="69" t="inlineStr">
        <is>
          <t>Classe A, Padrão II</t>
        </is>
      </c>
    </row>
    <row r="15" ht="15.75" customHeight="1" s="42">
      <c r="B15" s="65" t="n">
        <v>2011</v>
      </c>
      <c r="C15" s="65" t="inlineStr">
        <is>
          <t>Dez</t>
        </is>
      </c>
      <c r="D15" s="66" t="inlineStr">
        <is>
          <t>Dez/2011</t>
        </is>
      </c>
      <c r="E15" s="66" t="n">
        <v>545.55</v>
      </c>
      <c r="F15" s="66">
        <f>IF(E15="","",E15*1.6)</f>
        <v/>
      </c>
      <c r="G15" s="66" t="n">
        <v>2892</v>
      </c>
      <c r="H15" s="66">
        <f>IF(E15="","",E15+F15+IF(G15="",0,G15))</f>
        <v/>
      </c>
      <c r="I15" s="66" t="n"/>
      <c r="J15" s="77">
        <f>IF(OR(H15="",I15=""),"",H15-I15)</f>
        <v/>
      </c>
      <c r="K15" s="66" t="inlineStr">
        <is>
          <t>Classe A, Padrão II</t>
        </is>
      </c>
    </row>
    <row r="16" ht="15.75" customHeight="1" s="42">
      <c r="B16" s="68" t="n">
        <v>2012</v>
      </c>
      <c r="C16" s="68" t="inlineStr">
        <is>
          <t>Jan</t>
        </is>
      </c>
      <c r="D16" s="69" t="inlineStr">
        <is>
          <t>Jan/2012</t>
        </is>
      </c>
      <c r="E16" s="69" t="n">
        <v>545.55</v>
      </c>
      <c r="F16" s="69">
        <f>IF(E16="","",E16*1.6)</f>
        <v/>
      </c>
      <c r="G16" s="69" t="n">
        <v>2892</v>
      </c>
      <c r="H16" s="69">
        <f>IF(E16="","",E16+F16+IF(G16="",0,G16))</f>
        <v/>
      </c>
      <c r="I16" s="69" t="n"/>
      <c r="J16" s="77">
        <f>IF(OR(H16="",I16=""),"",H16-I16)</f>
        <v/>
      </c>
      <c r="K16" s="69" t="inlineStr">
        <is>
          <t>Classe A, Padrão II</t>
        </is>
      </c>
    </row>
    <row r="17" ht="15.75" customHeight="1" s="42">
      <c r="B17" s="65" t="n">
        <v>2012</v>
      </c>
      <c r="C17" s="65" t="inlineStr">
        <is>
          <t>Fev</t>
        </is>
      </c>
      <c r="D17" s="66" t="inlineStr">
        <is>
          <t>Fev/2012</t>
        </is>
      </c>
      <c r="E17" s="66" t="n">
        <v>545.55</v>
      </c>
      <c r="F17" s="66">
        <f>IF(E17="","",E17*1.6)</f>
        <v/>
      </c>
      <c r="G17" s="66" t="n">
        <v>2892</v>
      </c>
      <c r="H17" s="66">
        <f>IF(E17="","",E17+F17+IF(G17="",0,G17))</f>
        <v/>
      </c>
      <c r="I17" s="66" t="n"/>
      <c r="J17" s="77">
        <f>IF(OR(H17="",I17=""),"",H17-I17)</f>
        <v/>
      </c>
      <c r="K17" s="66" t="inlineStr">
        <is>
          <t>Classe A, Padrão II</t>
        </is>
      </c>
    </row>
    <row r="18" ht="15.75" customHeight="1" s="42">
      <c r="B18" s="68" t="n">
        <v>2012</v>
      </c>
      <c r="C18" s="68" t="inlineStr">
        <is>
          <t>Mar</t>
        </is>
      </c>
      <c r="D18" s="69" t="inlineStr">
        <is>
          <t>Mar/2012</t>
        </is>
      </c>
      <c r="E18" s="69" t="n">
        <v>545.55</v>
      </c>
      <c r="F18" s="69">
        <f>IF(E18="","",E18*1.6)</f>
        <v/>
      </c>
      <c r="G18" s="69" t="n">
        <v>2892</v>
      </c>
      <c r="H18" s="69">
        <f>IF(E18="","",E18+F18+IF(G18="",0,G18))</f>
        <v/>
      </c>
      <c r="I18" s="69" t="n"/>
      <c r="J18" s="77">
        <f>IF(OR(H18="",I18=""),"",H18-I18)</f>
        <v/>
      </c>
      <c r="K18" s="69" t="inlineStr">
        <is>
          <t>Classe A, Padrão II</t>
        </is>
      </c>
    </row>
    <row r="19" ht="15.75" customHeight="1" s="42">
      <c r="B19" s="65" t="n">
        <v>2012</v>
      </c>
      <c r="C19" s="65" t="inlineStr">
        <is>
          <t>Abr</t>
        </is>
      </c>
      <c r="D19" s="66" t="inlineStr">
        <is>
          <t>Abr/2012</t>
        </is>
      </c>
      <c r="E19" s="66" t="n">
        <v>545.55</v>
      </c>
      <c r="F19" s="66">
        <f>IF(E19="","",E19*1.6)</f>
        <v/>
      </c>
      <c r="G19" s="66" t="n">
        <v>2892</v>
      </c>
      <c r="H19" s="66">
        <f>IF(E19="","",E19+F19+IF(G19="",0,G19))</f>
        <v/>
      </c>
      <c r="I19" s="66" t="n"/>
      <c r="J19" s="77">
        <f>IF(OR(H19="",I19=""),"",H19-I19)</f>
        <v/>
      </c>
      <c r="K19" s="66" t="inlineStr">
        <is>
          <t>Classe A, Padrão II</t>
        </is>
      </c>
    </row>
    <row r="20" ht="15.75" customHeight="1" s="42">
      <c r="B20" s="68" t="n">
        <v>2012</v>
      </c>
      <c r="C20" s="68" t="inlineStr">
        <is>
          <t>Mai</t>
        </is>
      </c>
      <c r="D20" s="69" t="inlineStr">
        <is>
          <t>Mai/2012</t>
        </is>
      </c>
      <c r="E20" s="69" t="n">
        <v>545.55</v>
      </c>
      <c r="F20" s="69">
        <f>IF(E20="","",E20*1.6)</f>
        <v/>
      </c>
      <c r="G20" s="69" t="n">
        <v>2892</v>
      </c>
      <c r="H20" s="69">
        <f>IF(E20="","",E20+F20+IF(G20="",0,G20))</f>
        <v/>
      </c>
      <c r="I20" s="69" t="n"/>
      <c r="J20" s="77">
        <f>IF(OR(H20="",I20=""),"",H20-I20)</f>
        <v/>
      </c>
      <c r="K20" s="69" t="inlineStr">
        <is>
          <t>Classe A, Padrão II</t>
        </is>
      </c>
    </row>
    <row r="21" ht="15.75" customHeight="1" s="42">
      <c r="B21" s="65" t="n">
        <v>2012</v>
      </c>
      <c r="C21" s="65" t="inlineStr">
        <is>
          <t>Jun</t>
        </is>
      </c>
      <c r="D21" s="66" t="inlineStr">
        <is>
          <t>Jun/2012</t>
        </is>
      </c>
      <c r="E21" s="66" t="n">
        <v>545.55</v>
      </c>
      <c r="F21" s="66">
        <f>IF(E21="","",E21*1.6)</f>
        <v/>
      </c>
      <c r="G21" s="66" t="n">
        <v>2892</v>
      </c>
      <c r="H21" s="66">
        <f>IF(E21="","",E21+F21+IF(G21="",0,G21))</f>
        <v/>
      </c>
      <c r="I21" s="66" t="n"/>
      <c r="J21" s="77">
        <f>IF(OR(H21="",I21=""),"",H21-I21)</f>
        <v/>
      </c>
      <c r="K21" s="66" t="inlineStr">
        <is>
          <t>Classe A, Padrão II</t>
        </is>
      </c>
    </row>
    <row r="22" ht="15.75" customHeight="1" s="42">
      <c r="B22" s="68" t="n">
        <v>2012</v>
      </c>
      <c r="C22" s="68" t="inlineStr">
        <is>
          <t>Jul</t>
        </is>
      </c>
      <c r="D22" s="69" t="inlineStr">
        <is>
          <t>Jul/2012</t>
        </is>
      </c>
      <c r="E22" s="69" t="n">
        <v>545.55</v>
      </c>
      <c r="F22" s="69">
        <f>IF(E22="","",E22*1.6)</f>
        <v/>
      </c>
      <c r="G22" s="69" t="n">
        <v>2892</v>
      </c>
      <c r="H22" s="69">
        <f>IF(E22="","",E22+F22+IF(G22="",0,G22))</f>
        <v/>
      </c>
      <c r="I22" s="69" t="n"/>
      <c r="J22" s="77">
        <f>IF(OR(H22="",I22=""),"",H22-I22)</f>
        <v/>
      </c>
      <c r="K22" s="69" t="inlineStr">
        <is>
          <t>Classe A, Padrão II</t>
        </is>
      </c>
    </row>
    <row r="23" ht="15.75" customHeight="1" s="42">
      <c r="B23" s="65" t="n">
        <v>2012</v>
      </c>
      <c r="C23" s="65" t="inlineStr">
        <is>
          <t>Ago</t>
        </is>
      </c>
      <c r="D23" s="66" t="inlineStr">
        <is>
          <t>Ago/2012</t>
        </is>
      </c>
      <c r="E23" s="66" t="n">
        <v>545.55</v>
      </c>
      <c r="F23" s="66">
        <f>IF(E23="","",E23*1.6)</f>
        <v/>
      </c>
      <c r="G23" s="66" t="n">
        <v>2892</v>
      </c>
      <c r="H23" s="66">
        <f>IF(E23="","",E23+F23+IF(G23="",0,G23))</f>
        <v/>
      </c>
      <c r="I23" s="66" t="n"/>
      <c r="J23" s="77">
        <f>IF(OR(H23="",I23=""),"",H23-I23)</f>
        <v/>
      </c>
      <c r="K23" s="66" t="inlineStr">
        <is>
          <t>Classe A, Padrão II</t>
        </is>
      </c>
    </row>
    <row r="24" ht="15.75" customHeight="1" s="42">
      <c r="B24" s="68" t="n">
        <v>2012</v>
      </c>
      <c r="C24" s="68" t="inlineStr">
        <is>
          <t>Set</t>
        </is>
      </c>
      <c r="D24" s="69" t="inlineStr">
        <is>
          <t>Set/2012</t>
        </is>
      </c>
      <c r="E24" s="69" t="n">
        <v>545.55</v>
      </c>
      <c r="F24" s="69">
        <f>IF(E24="","",E24*1.6)</f>
        <v/>
      </c>
      <c r="G24" s="69" t="n">
        <v>2892</v>
      </c>
      <c r="H24" s="69">
        <f>IF(E24="","",E24+F24+IF(G24="",0,G24))</f>
        <v/>
      </c>
      <c r="I24" s="69" t="n"/>
      <c r="J24" s="77">
        <f>IF(OR(H24="",I24=""),"",H24-I24)</f>
        <v/>
      </c>
      <c r="K24" s="69" t="inlineStr">
        <is>
          <t>Classe A, Padrão II</t>
        </is>
      </c>
    </row>
    <row r="25" ht="15.75" customHeight="1" s="42">
      <c r="B25" s="65" t="n">
        <v>2012</v>
      </c>
      <c r="C25" s="65" t="inlineStr">
        <is>
          <t>Out</t>
        </is>
      </c>
      <c r="D25" s="66" t="inlineStr">
        <is>
          <t>Out/2012</t>
        </is>
      </c>
      <c r="E25" s="66" t="n">
        <v>545.55</v>
      </c>
      <c r="F25" s="66">
        <f>IF(E25="","",E25*1.6)</f>
        <v/>
      </c>
      <c r="G25" s="66" t="n">
        <v>2892</v>
      </c>
      <c r="H25" s="66">
        <f>IF(E25="","",E25+F25+IF(G25="",0,G25))</f>
        <v/>
      </c>
      <c r="I25" s="66" t="n"/>
      <c r="J25" s="77">
        <f>IF(OR(H25="",I25=""),"",H25-I25)</f>
        <v/>
      </c>
      <c r="K25" s="66" t="inlineStr">
        <is>
          <t>Classe A, Padrão II</t>
        </is>
      </c>
    </row>
    <row r="26" ht="15.75" customHeight="1" s="42">
      <c r="B26" s="68" t="n">
        <v>2012</v>
      </c>
      <c r="C26" s="68" t="inlineStr">
        <is>
          <t>Nov</t>
        </is>
      </c>
      <c r="D26" s="69" t="inlineStr">
        <is>
          <t>Nov/2012</t>
        </is>
      </c>
      <c r="E26" s="69" t="n">
        <v>545.55</v>
      </c>
      <c r="F26" s="69">
        <f>IF(E26="","",E26*1.6)</f>
        <v/>
      </c>
      <c r="G26" s="69" t="n">
        <v>2892</v>
      </c>
      <c r="H26" s="69">
        <f>IF(E26="","",E26+F26+IF(G26="",0,G26))</f>
        <v/>
      </c>
      <c r="I26" s="69" t="n"/>
      <c r="J26" s="77">
        <f>IF(OR(H26="",I26=""),"",H26-I26)</f>
        <v/>
      </c>
      <c r="K26" s="69" t="inlineStr">
        <is>
          <t>Classe A, Padrão II</t>
        </is>
      </c>
    </row>
    <row r="27" ht="15.75" customHeight="1" s="42">
      <c r="B27" s="65" t="n">
        <v>2012</v>
      </c>
      <c r="C27" s="65" t="inlineStr">
        <is>
          <t>Dez</t>
        </is>
      </c>
      <c r="D27" s="66" t="inlineStr">
        <is>
          <t>Dez/2012</t>
        </is>
      </c>
      <c r="E27" s="66" t="n">
        <v>545.55</v>
      </c>
      <c r="F27" s="66">
        <f>IF(E27="","",E27*1.6)</f>
        <v/>
      </c>
      <c r="G27" s="66" t="n">
        <v>3164.33</v>
      </c>
      <c r="H27" s="66">
        <f>IF(E27="","",E27+F27+IF(G27="",0,G27))</f>
        <v/>
      </c>
      <c r="I27" s="66" t="n"/>
      <c r="J27" s="77">
        <f>IF(OR(H27="",I27=""),"",H27-I27)</f>
        <v/>
      </c>
      <c r="K27" s="66" t="inlineStr">
        <is>
          <t>Classe A, Padrão II (FCI 0001)</t>
        </is>
      </c>
    </row>
    <row r="28" ht="15.75" customHeight="1" s="42">
      <c r="B28" s="68" t="n">
        <v>2013</v>
      </c>
      <c r="C28" s="68" t="inlineStr">
        <is>
          <t>Jan</t>
        </is>
      </c>
      <c r="D28" s="69" t="inlineStr">
        <is>
          <t>Jan/2013</t>
        </is>
      </c>
      <c r="E28" s="69" t="n">
        <v>2263.75</v>
      </c>
      <c r="F28" s="69">
        <f>IF(E28="","",E28*1.6)</f>
        <v/>
      </c>
      <c r="G28" s="69" t="n">
        <v>-0.01</v>
      </c>
      <c r="H28" s="69">
        <f>IF(E28="","",E28+F28+IF(G28="",0,G28))</f>
        <v/>
      </c>
      <c r="I28" s="69" t="n"/>
      <c r="J28" s="77">
        <f>IF(OR(H28="",I28=""),"",H28-I28)</f>
        <v/>
      </c>
      <c r="K28" s="69" t="inlineStr">
        <is>
          <t>Conforme Portal SIAPE</t>
        </is>
      </c>
    </row>
    <row r="29" ht="15.75" customHeight="1" s="42">
      <c r="B29" s="65" t="n">
        <v>2013</v>
      </c>
      <c r="C29" s="65" t="inlineStr">
        <is>
          <t>Fev</t>
        </is>
      </c>
      <c r="D29" s="66" t="inlineStr">
        <is>
          <t>Fev/2013</t>
        </is>
      </c>
      <c r="E29" s="66" t="n">
        <v>2241.45</v>
      </c>
      <c r="F29" s="66">
        <f>IF(E29="","",E29*1.6)</f>
        <v/>
      </c>
      <c r="G29" s="66" t="n">
        <v>0</v>
      </c>
      <c r="H29" s="66">
        <f>IF(E29="","",E29+F29+IF(G29="",0,G29))</f>
        <v/>
      </c>
      <c r="I29" s="66" t="n"/>
      <c r="J29" s="77">
        <f>IF(OR(H29="",I29=""),"",H29-I29)</f>
        <v/>
      </c>
      <c r="K29" s="66" t="inlineStr">
        <is>
          <t>Conforme Portal SIAPE</t>
        </is>
      </c>
    </row>
    <row r="30" ht="15.75" customHeight="1" s="42">
      <c r="B30" s="68" t="n">
        <v>2013</v>
      </c>
      <c r="C30" s="68" t="inlineStr">
        <is>
          <t>Mar</t>
        </is>
      </c>
      <c r="D30" s="69" t="inlineStr">
        <is>
          <t>Mar/2013</t>
        </is>
      </c>
      <c r="E30" s="69" t="n">
        <v>2263.75</v>
      </c>
      <c r="F30" s="69">
        <f>IF(E30="","",E30*1.6)</f>
        <v/>
      </c>
      <c r="G30" s="69" t="n">
        <v>-0.01</v>
      </c>
      <c r="H30" s="69">
        <f>IF(E30="","",E30+F30+IF(G30="",0,G30))</f>
        <v/>
      </c>
      <c r="I30" s="69" t="n"/>
      <c r="J30" s="77">
        <f>IF(OR(H30="",I30=""),"",H30-I30)</f>
        <v/>
      </c>
      <c r="K30" s="69" t="inlineStr">
        <is>
          <t>Conforme Portal SIAPE</t>
        </is>
      </c>
    </row>
    <row r="31" ht="15.75" customHeight="1" s="42">
      <c r="B31" s="65" t="n">
        <v>2013</v>
      </c>
      <c r="C31" s="65" t="inlineStr">
        <is>
          <t>Abr</t>
        </is>
      </c>
      <c r="D31" s="66" t="inlineStr">
        <is>
          <t>Abr/2013</t>
        </is>
      </c>
      <c r="E31" s="66" t="n">
        <v>2263.75</v>
      </c>
      <c r="F31" s="66">
        <f>IF(E31="","",E31*1.6)</f>
        <v/>
      </c>
      <c r="G31" s="66" t="n">
        <v>-0.01</v>
      </c>
      <c r="H31" s="66">
        <f>IF(E31="","",E31+F31+IF(G31="",0,G31))</f>
        <v/>
      </c>
      <c r="I31" s="66" t="n"/>
      <c r="J31" s="77">
        <f>IF(OR(H31="",I31=""),"",H31-I31)</f>
        <v/>
      </c>
      <c r="K31" s="66" t="inlineStr">
        <is>
          <t>Conforme Portal SIAPE</t>
        </is>
      </c>
    </row>
    <row r="32" ht="15.75" customHeight="1" s="42">
      <c r="B32" s="68" t="n">
        <v>2013</v>
      </c>
      <c r="C32" s="68" t="inlineStr">
        <is>
          <t>Mai</t>
        </is>
      </c>
      <c r="D32" s="69" t="inlineStr">
        <is>
          <t>Mai/2013</t>
        </is>
      </c>
      <c r="E32" s="69" t="n">
        <v>2263.75</v>
      </c>
      <c r="F32" s="69">
        <f>IF(E32="","",E32*1.6)</f>
        <v/>
      </c>
      <c r="G32" s="69" t="n">
        <v>-0.01</v>
      </c>
      <c r="H32" s="69">
        <f>IF(E32="","",E32+F32+IF(G32="",0,G32))</f>
        <v/>
      </c>
      <c r="I32" s="69" t="n"/>
      <c r="J32" s="77">
        <f>IF(OR(H32="",I32=""),"",H32-I32)</f>
        <v/>
      </c>
      <c r="K32" s="69" t="inlineStr">
        <is>
          <t>Conforme Portal SIAPE</t>
        </is>
      </c>
    </row>
    <row r="33" ht="15.75" customHeight="1" s="42">
      <c r="B33" s="65" t="n">
        <v>2013</v>
      </c>
      <c r="C33" s="65" t="inlineStr">
        <is>
          <t>Jun</t>
        </is>
      </c>
      <c r="D33" s="66" t="inlineStr">
        <is>
          <t>Jun/2013</t>
        </is>
      </c>
      <c r="E33" s="66" t="n">
        <v>2263.75</v>
      </c>
      <c r="F33" s="66">
        <f>IF(E33="","",E33*1.6)</f>
        <v/>
      </c>
      <c r="G33" s="66" t="n">
        <v>-0.01</v>
      </c>
      <c r="H33" s="66">
        <f>IF(E33="","",E33+F33+IF(G33="",0,G33))</f>
        <v/>
      </c>
      <c r="I33" s="66" t="n"/>
      <c r="J33" s="77">
        <f>IF(OR(H33="",I33=""),"",H33-I33)</f>
        <v/>
      </c>
      <c r="K33" s="66" t="inlineStr">
        <is>
          <t>Conforme Portal SIAPE</t>
        </is>
      </c>
    </row>
    <row r="34" ht="15.75" customHeight="1" s="42">
      <c r="B34" s="68" t="n">
        <v>2013</v>
      </c>
      <c r="C34" s="68" t="inlineStr">
        <is>
          <t>Jul</t>
        </is>
      </c>
      <c r="D34" s="69" t="inlineStr">
        <is>
          <t>Jul/2013</t>
        </is>
      </c>
      <c r="E34" s="69" t="n">
        <v>2263.75</v>
      </c>
      <c r="F34" s="69">
        <f>IF(E34="","",E34*1.6)</f>
        <v/>
      </c>
      <c r="G34" s="69" t="n">
        <v>-0.01</v>
      </c>
      <c r="H34" s="69">
        <f>IF(E34="","",E34+F34+IF(G34="",0,G34))</f>
        <v/>
      </c>
      <c r="I34" s="69" t="n"/>
      <c r="J34" s="77">
        <f>IF(OR(H34="",I34=""),"",H34-I34)</f>
        <v/>
      </c>
      <c r="K34" s="69" t="inlineStr">
        <is>
          <t>Conforme Portal SIAPE</t>
        </is>
      </c>
    </row>
    <row r="35" ht="15.75" customHeight="1" s="42">
      <c r="B35" s="65" t="n">
        <v>2013</v>
      </c>
      <c r="C35" s="65" t="inlineStr">
        <is>
          <t>Ago</t>
        </is>
      </c>
      <c r="D35" s="66" t="inlineStr">
        <is>
          <t>Ago/2013</t>
        </is>
      </c>
      <c r="E35" s="66" t="n">
        <v>2263.75</v>
      </c>
      <c r="F35" s="66">
        <f>IF(E35="","",E35*1.6)</f>
        <v/>
      </c>
      <c r="G35" s="66" t="n">
        <v>-0.01</v>
      </c>
      <c r="H35" s="66">
        <f>IF(E35="","",E35+F35+IF(G35="",0,G35))</f>
        <v/>
      </c>
      <c r="I35" s="66" t="n"/>
      <c r="J35" s="77">
        <f>IF(OR(H35="",I35=""),"",H35-I35)</f>
        <v/>
      </c>
      <c r="K35" s="66" t="inlineStr">
        <is>
          <t>Conforme Portal SIAPE</t>
        </is>
      </c>
    </row>
    <row r="36" ht="15.75" customHeight="1" s="42">
      <c r="B36" s="68" t="n">
        <v>2013</v>
      </c>
      <c r="C36" s="68" t="inlineStr">
        <is>
          <t>Set</t>
        </is>
      </c>
      <c r="D36" s="69" t="inlineStr">
        <is>
          <t>Set/2013</t>
        </is>
      </c>
      <c r="E36" s="69" t="n">
        <v>2313.54</v>
      </c>
      <c r="F36" s="69">
        <f>IF(E36="","",E36*1.6)</f>
        <v/>
      </c>
      <c r="G36" s="69" t="n">
        <v>0.01</v>
      </c>
      <c r="H36" s="69">
        <f>IF(E36="","",E36+F36+IF(G36="",0,G36))</f>
        <v/>
      </c>
      <c r="I36" s="69" t="n"/>
      <c r="J36" s="77">
        <f>IF(OR(H36="",I36=""),"",H36-I36)</f>
        <v/>
      </c>
      <c r="K36" s="69" t="inlineStr">
        <is>
          <t>Conforme Portal SIAPE</t>
        </is>
      </c>
    </row>
    <row r="37" ht="15.75" customHeight="1" s="42">
      <c r="B37" s="65" t="n">
        <v>2013</v>
      </c>
      <c r="C37" s="65" t="inlineStr">
        <is>
          <t>Out</t>
        </is>
      </c>
      <c r="D37" s="66" t="inlineStr">
        <is>
          <t>Out/2013</t>
        </is>
      </c>
      <c r="E37" s="66" t="n">
        <v>2313.54</v>
      </c>
      <c r="F37" s="66">
        <f>IF(E37="","",E37*1.6)</f>
        <v/>
      </c>
      <c r="G37" s="66" t="n">
        <v>0.01</v>
      </c>
      <c r="H37" s="66">
        <f>IF(E37="","",E37+F37+IF(G37="",0,G37))</f>
        <v/>
      </c>
      <c r="I37" s="66" t="n"/>
      <c r="J37" s="77">
        <f>IF(OR(H37="",I37=""),"",H37-I37)</f>
        <v/>
      </c>
      <c r="K37" s="66" t="inlineStr">
        <is>
          <t>Conforme Portal SIAPE</t>
        </is>
      </c>
    </row>
    <row r="38" ht="15.75" customHeight="1" s="42">
      <c r="B38" s="68" t="n">
        <v>2013</v>
      </c>
      <c r="C38" s="68" t="inlineStr">
        <is>
          <t>Nov</t>
        </is>
      </c>
      <c r="D38" s="69" t="inlineStr">
        <is>
          <t>Nov/2013</t>
        </is>
      </c>
      <c r="E38" s="69" t="n">
        <v>2313.54</v>
      </c>
      <c r="F38" s="69">
        <f>IF(E38="","",E38*1.6)</f>
        <v/>
      </c>
      <c r="G38" s="69" t="n">
        <v>0.01</v>
      </c>
      <c r="H38" s="69">
        <f>IF(E38="","",E38+F38+IF(G38="",0,G38))</f>
        <v/>
      </c>
      <c r="I38" s="69" t="n"/>
      <c r="J38" s="77">
        <f>IF(OR(H38="",I38=""),"",H38-I38)</f>
        <v/>
      </c>
      <c r="K38" s="69" t="inlineStr">
        <is>
          <t>Conforme Portal SIAPE</t>
        </is>
      </c>
    </row>
    <row r="39" ht="15.75" customHeight="1" s="42">
      <c r="B39" s="65" t="n">
        <v>2013</v>
      </c>
      <c r="C39" s="65" t="inlineStr">
        <is>
          <t>Dez</t>
        </is>
      </c>
      <c r="D39" s="66" t="inlineStr">
        <is>
          <t>Dez/2013</t>
        </is>
      </c>
      <c r="E39" s="66" t="n">
        <v>2313.54</v>
      </c>
      <c r="F39" s="66">
        <f>IF(E39="","",E39*1.6)</f>
        <v/>
      </c>
      <c r="G39" s="66" t="n">
        <v>0.01</v>
      </c>
      <c r="H39" s="66">
        <f>IF(E39="","",E39+F39+IF(G39="",0,G39))</f>
        <v/>
      </c>
      <c r="I39" s="66" t="n"/>
      <c r="J39" s="77">
        <f>IF(OR(H39="",I39=""),"",H39-I39)</f>
        <v/>
      </c>
      <c r="K39" s="66" t="inlineStr">
        <is>
          <t>Conforme Portal SIAPE</t>
        </is>
      </c>
    </row>
    <row r="40" ht="15.75" customHeight="1" s="42">
      <c r="B40" s="68" t="n">
        <v>2014</v>
      </c>
      <c r="C40" s="68" t="inlineStr">
        <is>
          <t>Jan</t>
        </is>
      </c>
      <c r="D40" s="69" t="inlineStr">
        <is>
          <t>Jan/2014</t>
        </is>
      </c>
      <c r="E40" s="69" t="n">
        <v>2417.37</v>
      </c>
      <c r="F40" s="69">
        <f>IF(E40="","",E40*1.6)</f>
        <v/>
      </c>
      <c r="G40" s="69" t="n">
        <v>-0.01</v>
      </c>
      <c r="H40" s="69">
        <f>IF(E40="","",E40+F40+IF(G40="",0,G40))</f>
        <v/>
      </c>
      <c r="I40" s="69" t="n"/>
      <c r="J40" s="77">
        <f>IF(OR(H40="",I40=""),"",H40-I40)</f>
        <v/>
      </c>
      <c r="K40" s="69" t="inlineStr">
        <is>
          <t>Conforme Portal SIAPE</t>
        </is>
      </c>
    </row>
    <row r="41" ht="15.75" customHeight="1" s="42">
      <c r="B41" s="65" t="n">
        <v>2014</v>
      </c>
      <c r="C41" s="65" t="inlineStr">
        <is>
          <t>Fev</t>
        </is>
      </c>
      <c r="D41" s="66" t="inlineStr">
        <is>
          <t>Fev/2014</t>
        </is>
      </c>
      <c r="E41" s="66" t="n">
        <v>2417.37</v>
      </c>
      <c r="F41" s="66">
        <f>IF(E41="","",E41*1.6)</f>
        <v/>
      </c>
      <c r="G41" s="66" t="n">
        <v>-0.01</v>
      </c>
      <c r="H41" s="66">
        <f>IF(E41="","",E41+F41+IF(G41="",0,G41))</f>
        <v/>
      </c>
      <c r="I41" s="66" t="n"/>
      <c r="J41" s="77">
        <f>IF(OR(H41="",I41=""),"",H41-I41)</f>
        <v/>
      </c>
      <c r="K41" s="66" t="inlineStr">
        <is>
          <t>Conforme Portal SIAPE</t>
        </is>
      </c>
    </row>
    <row r="42" ht="15.75" customHeight="1" s="42">
      <c r="B42" s="68" t="n">
        <v>2014</v>
      </c>
      <c r="C42" s="68" t="inlineStr">
        <is>
          <t>Mar</t>
        </is>
      </c>
      <c r="D42" s="69" t="inlineStr">
        <is>
          <t>Mar/2014</t>
        </is>
      </c>
      <c r="E42" s="69" t="n">
        <v>2417.37</v>
      </c>
      <c r="F42" s="69">
        <f>IF(E42="","",E42*1.6)</f>
        <v/>
      </c>
      <c r="G42" s="69" t="n">
        <v>-0.01</v>
      </c>
      <c r="H42" s="69">
        <f>IF(E42="","",E42+F42+IF(G42="",0,G42))</f>
        <v/>
      </c>
      <c r="I42" s="69" t="n"/>
      <c r="J42" s="77">
        <f>IF(OR(H42="",I42=""),"",H42-I42)</f>
        <v/>
      </c>
      <c r="K42" s="69" t="inlineStr">
        <is>
          <t>Conforme Portal SIAPE</t>
        </is>
      </c>
    </row>
    <row r="43" ht="15.75" customHeight="1" s="42">
      <c r="B43" s="65" t="n">
        <v>2014</v>
      </c>
      <c r="C43" s="65" t="inlineStr">
        <is>
          <t>Abr</t>
        </is>
      </c>
      <c r="D43" s="66" t="inlineStr">
        <is>
          <t>Abr/2014</t>
        </is>
      </c>
      <c r="E43" s="66" t="n">
        <v>2417.37</v>
      </c>
      <c r="F43" s="66">
        <f>IF(E43="","",E43*1.6)</f>
        <v/>
      </c>
      <c r="G43" s="66" t="n">
        <v>-0.01</v>
      </c>
      <c r="H43" s="66">
        <f>IF(E43="","",E43+F43+IF(G43="",0,G43))</f>
        <v/>
      </c>
      <c r="I43" s="66" t="n"/>
      <c r="J43" s="77">
        <f>IF(OR(H43="",I43=""),"",H43-I43)</f>
        <v/>
      </c>
      <c r="K43" s="66" t="inlineStr">
        <is>
          <t>Conforme Portal SIAPE</t>
        </is>
      </c>
    </row>
    <row r="44" ht="15.75" customHeight="1" s="42">
      <c r="B44" s="68" t="n">
        <v>2014</v>
      </c>
      <c r="C44" s="68" t="inlineStr">
        <is>
          <t>Mai</t>
        </is>
      </c>
      <c r="D44" s="69" t="inlineStr">
        <is>
          <t>Mai/2014</t>
        </is>
      </c>
      <c r="E44" s="69" t="n">
        <v>2417.37</v>
      </c>
      <c r="F44" s="69">
        <f>IF(E44="","",E44*1.6)</f>
        <v/>
      </c>
      <c r="G44" s="69" t="n">
        <v>-0.01</v>
      </c>
      <c r="H44" s="69">
        <f>IF(E44="","",E44+F44+IF(G44="",0,G44))</f>
        <v/>
      </c>
      <c r="I44" s="69" t="n"/>
      <c r="J44" s="77">
        <f>IF(OR(H44="",I44=""),"",H44-I44)</f>
        <v/>
      </c>
      <c r="K44" s="69" t="inlineStr">
        <is>
          <t>Conforme Portal SIAPE</t>
        </is>
      </c>
    </row>
    <row r="45" ht="15.75" customHeight="1" s="42">
      <c r="B45" s="65" t="n">
        <v>2014</v>
      </c>
      <c r="C45" s="65" t="inlineStr">
        <is>
          <t>Jun</t>
        </is>
      </c>
      <c r="D45" s="66" t="inlineStr">
        <is>
          <t>Jun/2014</t>
        </is>
      </c>
      <c r="E45" s="66" t="n">
        <v>2417.37</v>
      </c>
      <c r="F45" s="66">
        <f>IF(E45="","",E45*1.6)</f>
        <v/>
      </c>
      <c r="G45" s="66" t="n">
        <v>-0.01</v>
      </c>
      <c r="H45" s="66">
        <f>IF(E45="","",E45+F45+IF(G45="",0,G45))</f>
        <v/>
      </c>
      <c r="I45" s="66" t="n"/>
      <c r="J45" s="77">
        <f>IF(OR(H45="",I45=""),"",H45-I45)</f>
        <v/>
      </c>
      <c r="K45" s="66" t="inlineStr">
        <is>
          <t>Conforme Portal SIAPE</t>
        </is>
      </c>
    </row>
    <row r="46" ht="15.75" customHeight="1" s="42">
      <c r="B46" s="68" t="n">
        <v>2014</v>
      </c>
      <c r="C46" s="68" t="inlineStr">
        <is>
          <t>Jul</t>
        </is>
      </c>
      <c r="D46" s="69" t="inlineStr">
        <is>
          <t>Jul/2014</t>
        </is>
      </c>
      <c r="E46" s="69" t="n">
        <v>2417.37</v>
      </c>
      <c r="F46" s="69">
        <f>IF(E46="","",E46*1.6)</f>
        <v/>
      </c>
      <c r="G46" s="69" t="n">
        <v>-0.01</v>
      </c>
      <c r="H46" s="69">
        <f>IF(E46="","",E46+F46+IF(G46="",0,G46))</f>
        <v/>
      </c>
      <c r="I46" s="69" t="n"/>
      <c r="J46" s="77">
        <f>IF(OR(H46="",I46=""),"",H46-I46)</f>
        <v/>
      </c>
      <c r="K46" s="69" t="inlineStr">
        <is>
          <t>Conforme Portal SIAPE</t>
        </is>
      </c>
    </row>
    <row r="47" ht="15.75" customHeight="1" s="42">
      <c r="B47" s="65" t="n">
        <v>2014</v>
      </c>
      <c r="C47" s="65" t="inlineStr">
        <is>
          <t>Ago</t>
        </is>
      </c>
      <c r="D47" s="66" t="inlineStr">
        <is>
          <t>Ago/2014</t>
        </is>
      </c>
      <c r="E47" s="66" t="n">
        <v>2417.37</v>
      </c>
      <c r="F47" s="66">
        <f>IF(E47="","",E47*1.6)</f>
        <v/>
      </c>
      <c r="G47" s="66" t="n">
        <v>-0.01</v>
      </c>
      <c r="H47" s="66">
        <f>IF(E47="","",E47+F47+IF(G47="",0,G47))</f>
        <v/>
      </c>
      <c r="I47" s="66" t="n"/>
      <c r="J47" s="77">
        <f>IF(OR(H47="",I47=""),"",H47-I47)</f>
        <v/>
      </c>
      <c r="K47" s="66" t="inlineStr">
        <is>
          <t>Conforme Portal SIAPE</t>
        </is>
      </c>
    </row>
    <row r="48" ht="15.75" customHeight="1" s="42">
      <c r="B48" s="68" t="n">
        <v>2014</v>
      </c>
      <c r="C48" s="68" t="inlineStr">
        <is>
          <t>Set</t>
        </is>
      </c>
      <c r="D48" s="69" t="inlineStr">
        <is>
          <t>Set/2014</t>
        </is>
      </c>
      <c r="E48" s="69" t="n">
        <v>2417.37</v>
      </c>
      <c r="F48" s="69">
        <f>IF(E48="","",E48*1.6)</f>
        <v/>
      </c>
      <c r="G48" s="69" t="n">
        <v>-0.01</v>
      </c>
      <c r="H48" s="69">
        <f>IF(E48="","",E48+F48+IF(G48="",0,G48))</f>
        <v/>
      </c>
      <c r="I48" s="69" t="n"/>
      <c r="J48" s="77">
        <f>IF(OR(H48="",I48=""),"",H48-I48)</f>
        <v/>
      </c>
      <c r="K48" s="69" t="inlineStr">
        <is>
          <t>Conforme Portal SIAPE</t>
        </is>
      </c>
    </row>
    <row r="49" ht="15.75" customHeight="1" s="42">
      <c r="B49" s="65" t="n">
        <v>2014</v>
      </c>
      <c r="C49" s="65" t="inlineStr">
        <is>
          <t>Out</t>
        </is>
      </c>
      <c r="D49" s="66" t="inlineStr">
        <is>
          <t>Out/2014</t>
        </is>
      </c>
      <c r="E49" s="66" t="n">
        <v>2417.37</v>
      </c>
      <c r="F49" s="66">
        <f>IF(E49="","",E49*1.6)</f>
        <v/>
      </c>
      <c r="G49" s="66" t="n">
        <v>-0.01</v>
      </c>
      <c r="H49" s="66">
        <f>IF(E49="","",E49+F49+IF(G49="",0,G49))</f>
        <v/>
      </c>
      <c r="I49" s="66" t="n"/>
      <c r="J49" s="77">
        <f>IF(OR(H49="",I49=""),"",H49-I49)</f>
        <v/>
      </c>
      <c r="K49" s="66" t="inlineStr">
        <is>
          <t>Conforme Portal SIAPE</t>
        </is>
      </c>
    </row>
    <row r="50" ht="15.75" customHeight="1" s="42">
      <c r="B50" s="68" t="n">
        <v>2014</v>
      </c>
      <c r="C50" s="68" t="inlineStr">
        <is>
          <t>Nov</t>
        </is>
      </c>
      <c r="D50" s="69" t="inlineStr">
        <is>
          <t>Nov/2014</t>
        </is>
      </c>
      <c r="E50" s="69" t="n">
        <v>2417.37</v>
      </c>
      <c r="F50" s="69">
        <f>IF(E50="","",E50*1.6)</f>
        <v/>
      </c>
      <c r="G50" s="69" t="n">
        <v>-0.01</v>
      </c>
      <c r="H50" s="69">
        <f>IF(E50="","",E50+F50+IF(G50="",0,G50))</f>
        <v/>
      </c>
      <c r="I50" s="69" t="n"/>
      <c r="J50" s="77">
        <f>IF(OR(H50="",I50=""),"",H50-I50)</f>
        <v/>
      </c>
      <c r="K50" s="69" t="inlineStr">
        <is>
          <t>Conforme Portal SIAPE</t>
        </is>
      </c>
    </row>
    <row r="51" ht="15.75" customHeight="1" s="42">
      <c r="B51" s="65" t="n">
        <v>2014</v>
      </c>
      <c r="C51" s="65" t="inlineStr">
        <is>
          <t>Dez</t>
        </is>
      </c>
      <c r="D51" s="66" t="inlineStr">
        <is>
          <t>Dez/2014</t>
        </is>
      </c>
      <c r="E51" s="66" t="n">
        <v>2417.37</v>
      </c>
      <c r="F51" s="66">
        <f>IF(E51="","",E51*1.6)</f>
        <v/>
      </c>
      <c r="G51" s="66" t="n">
        <v>-0.01</v>
      </c>
      <c r="H51" s="66">
        <f>IF(E51="","",E51+F51+IF(G51="",0,G51))</f>
        <v/>
      </c>
      <c r="I51" s="66" t="n"/>
      <c r="J51" s="77">
        <f>IF(OR(H51="",I51=""),"",H51-I51)</f>
        <v/>
      </c>
      <c r="K51" s="66" t="inlineStr">
        <is>
          <t>Conforme Portal SIAPE</t>
        </is>
      </c>
    </row>
    <row r="52" ht="15.75" customHeight="1" s="42">
      <c r="B52" s="68" t="n">
        <v>2015</v>
      </c>
      <c r="C52" s="68" t="inlineStr">
        <is>
          <t>Jan</t>
        </is>
      </c>
      <c r="D52" s="69" t="inlineStr">
        <is>
          <t>Jan/2015</t>
        </is>
      </c>
      <c r="E52" s="69" t="n">
        <v>2526.44</v>
      </c>
      <c r="F52" s="69">
        <f>IF(E52="","",E52*1.6)</f>
        <v/>
      </c>
      <c r="G52" s="69" t="n">
        <v>-0</v>
      </c>
      <c r="H52" s="69">
        <f>IF(E52="","",E52+F52+IF(G52="",0,G52))</f>
        <v/>
      </c>
      <c r="I52" s="69" t="n"/>
      <c r="J52" s="77">
        <f>IF(OR(H52="",I52=""),"",H52-I52)</f>
        <v/>
      </c>
      <c r="K52" s="69" t="inlineStr">
        <is>
          <t>Conforme Portal SIAPE</t>
        </is>
      </c>
    </row>
    <row r="53" ht="15.75" customHeight="1" s="42">
      <c r="B53" s="65" t="n">
        <v>2015</v>
      </c>
      <c r="C53" s="65" t="inlineStr">
        <is>
          <t>Fev</t>
        </is>
      </c>
      <c r="D53" s="66" t="inlineStr">
        <is>
          <t>Fev/2015</t>
        </is>
      </c>
      <c r="E53" s="66" t="n">
        <v>2526.44</v>
      </c>
      <c r="F53" s="66">
        <f>IF(E53="","",E53*1.6)</f>
        <v/>
      </c>
      <c r="G53" s="66" t="n">
        <v>-0</v>
      </c>
      <c r="H53" s="66">
        <f>IF(E53="","",E53+F53+IF(G53="",0,G53))</f>
        <v/>
      </c>
      <c r="I53" s="66" t="n"/>
      <c r="J53" s="77">
        <f>IF(OR(H53="",I53=""),"",H53-I53)</f>
        <v/>
      </c>
      <c r="K53" s="66" t="inlineStr">
        <is>
          <t>Conforme Portal SIAPE</t>
        </is>
      </c>
    </row>
    <row r="54" ht="15.75" customHeight="1" s="42">
      <c r="B54" s="68" t="n">
        <v>2015</v>
      </c>
      <c r="C54" s="68" t="inlineStr">
        <is>
          <t>Mar</t>
        </is>
      </c>
      <c r="D54" s="69" t="inlineStr">
        <is>
          <t>Mar/2015</t>
        </is>
      </c>
      <c r="E54" s="69" t="n">
        <v>2583.55</v>
      </c>
      <c r="F54" s="69">
        <f>IF(E54="","",E54*1.6)</f>
        <v/>
      </c>
      <c r="G54" s="69" t="n">
        <v>0.01</v>
      </c>
      <c r="H54" s="69">
        <f>IF(E54="","",E54+F54+IF(G54="",0,G54))</f>
        <v/>
      </c>
      <c r="I54" s="69" t="n"/>
      <c r="J54" s="77">
        <f>IF(OR(H54="",I54=""),"",H54-I54)</f>
        <v/>
      </c>
      <c r="K54" s="69" t="inlineStr">
        <is>
          <t>Conforme Portal SIAPE</t>
        </is>
      </c>
    </row>
    <row r="55" ht="15.75" customHeight="1" s="42">
      <c r="B55" s="65" t="n">
        <v>2015</v>
      </c>
      <c r="C55" s="65" t="inlineStr">
        <is>
          <t>Abr</t>
        </is>
      </c>
      <c r="D55" s="66" t="inlineStr">
        <is>
          <t>Abr/2015</t>
        </is>
      </c>
      <c r="E55" s="66" t="n">
        <v>2583.55</v>
      </c>
      <c r="F55" s="66">
        <f>IF(E55="","",E55*1.6)</f>
        <v/>
      </c>
      <c r="G55" s="66" t="n">
        <v>0.01</v>
      </c>
      <c r="H55" s="66">
        <f>IF(E55="","",E55+F55+IF(G55="",0,G55))</f>
        <v/>
      </c>
      <c r="I55" s="66" t="n"/>
      <c r="J55" s="77">
        <f>IF(OR(H55="",I55=""),"",H55-I55)</f>
        <v/>
      </c>
      <c r="K55" s="66" t="inlineStr">
        <is>
          <t>Conforme Portal SIAPE</t>
        </is>
      </c>
    </row>
    <row r="56" ht="15.75" customHeight="1" s="42">
      <c r="B56" s="68" t="n">
        <v>2015</v>
      </c>
      <c r="C56" s="68" t="inlineStr">
        <is>
          <t>Mai</t>
        </is>
      </c>
      <c r="D56" s="69" t="inlineStr">
        <is>
          <t>Mai/2015</t>
        </is>
      </c>
      <c r="E56" s="69" t="n">
        <v>2583.55</v>
      </c>
      <c r="F56" s="69">
        <f>IF(E56="","",E56*1.6)</f>
        <v/>
      </c>
      <c r="G56" s="69" t="n">
        <v>0.01</v>
      </c>
      <c r="H56" s="69">
        <f>IF(E56="","",E56+F56+IF(G56="",0,G56))</f>
        <v/>
      </c>
      <c r="I56" s="69" t="n"/>
      <c r="J56" s="77">
        <f>IF(OR(H56="",I56=""),"",H56-I56)</f>
        <v/>
      </c>
      <c r="K56" s="69" t="inlineStr">
        <is>
          <t>Conforme Portal SIAPE</t>
        </is>
      </c>
    </row>
    <row r="57" ht="15.75" customHeight="1" s="42">
      <c r="B57" s="65" t="n">
        <v>2015</v>
      </c>
      <c r="C57" s="65" t="inlineStr">
        <is>
          <t>Jun</t>
        </is>
      </c>
      <c r="D57" s="66" t="inlineStr">
        <is>
          <t>Jun/2015</t>
        </is>
      </c>
      <c r="E57" s="66" t="n">
        <v>2583.55</v>
      </c>
      <c r="F57" s="66">
        <f>IF(E57="","",E57*1.6)</f>
        <v/>
      </c>
      <c r="G57" s="66" t="n">
        <v>0.01</v>
      </c>
      <c r="H57" s="66">
        <f>IF(E57="","",E57+F57+IF(G57="",0,G57))</f>
        <v/>
      </c>
      <c r="I57" s="66" t="n"/>
      <c r="J57" s="77">
        <f>IF(OR(H57="",I57=""),"",H57-I57)</f>
        <v/>
      </c>
      <c r="K57" s="66" t="inlineStr">
        <is>
          <t>Conforme Portal SIAPE</t>
        </is>
      </c>
    </row>
    <row r="58" ht="15.75" customHeight="1" s="42">
      <c r="B58" s="68" t="n">
        <v>2015</v>
      </c>
      <c r="C58" s="68" t="inlineStr">
        <is>
          <t>Jul</t>
        </is>
      </c>
      <c r="D58" s="69" t="inlineStr">
        <is>
          <t>Jul/2015</t>
        </is>
      </c>
      <c r="E58" s="69" t="n">
        <v>2583.55</v>
      </c>
      <c r="F58" s="69">
        <f>IF(E58="","",E58*1.6)</f>
        <v/>
      </c>
      <c r="G58" s="69" t="n">
        <v>0.01</v>
      </c>
      <c r="H58" s="69">
        <f>IF(E58="","",E58+F58+IF(G58="",0,G58))</f>
        <v/>
      </c>
      <c r="I58" s="69" t="n"/>
      <c r="J58" s="77">
        <f>IF(OR(H58="",I58=""),"",H58-I58)</f>
        <v/>
      </c>
      <c r="K58" s="69" t="inlineStr">
        <is>
          <t>Conforme Portal SIAPE</t>
        </is>
      </c>
    </row>
    <row r="59" ht="15.75" customHeight="1" s="42">
      <c r="B59" s="65" t="n">
        <v>2015</v>
      </c>
      <c r="C59" s="65" t="inlineStr">
        <is>
          <t>Ago</t>
        </is>
      </c>
      <c r="D59" s="66" t="inlineStr">
        <is>
          <t>Ago/2015</t>
        </is>
      </c>
      <c r="E59" s="66" t="n">
        <v>2583.55</v>
      </c>
      <c r="F59" s="66">
        <f>IF(E59="","",E59*1.6)</f>
        <v/>
      </c>
      <c r="G59" s="66" t="n">
        <v>0.01</v>
      </c>
      <c r="H59" s="66">
        <f>IF(E59="","",E59+F59+IF(G59="",0,G59))</f>
        <v/>
      </c>
      <c r="I59" s="66" t="n"/>
      <c r="J59" s="77">
        <f>IF(OR(H59="",I59=""),"",H59-I59)</f>
        <v/>
      </c>
      <c r="K59" s="66" t="inlineStr">
        <is>
          <t>Conforme Portal SIAPE</t>
        </is>
      </c>
    </row>
    <row r="60" ht="15.75" customHeight="1" s="42">
      <c r="B60" s="68" t="n">
        <v>2015</v>
      </c>
      <c r="C60" s="68" t="inlineStr">
        <is>
          <t>Set</t>
        </is>
      </c>
      <c r="D60" s="69" t="inlineStr">
        <is>
          <t>Set/2015</t>
        </is>
      </c>
      <c r="E60" s="69" t="n">
        <v>2583.55</v>
      </c>
      <c r="F60" s="69">
        <f>IF(E60="","",E60*1.6)</f>
        <v/>
      </c>
      <c r="G60" s="69" t="n">
        <v>0.01</v>
      </c>
      <c r="H60" s="69">
        <f>IF(E60="","",E60+F60+IF(G60="",0,G60))</f>
        <v/>
      </c>
      <c r="I60" s="69" t="n"/>
      <c r="J60" s="77">
        <f>IF(OR(H60="",I60=""),"",H60-I60)</f>
        <v/>
      </c>
      <c r="K60" s="69" t="inlineStr">
        <is>
          <t>Conforme Portal SIAPE</t>
        </is>
      </c>
    </row>
    <row r="61" ht="15.75" customHeight="1" s="42">
      <c r="B61" s="65" t="n">
        <v>2015</v>
      </c>
      <c r="C61" s="65" t="inlineStr">
        <is>
          <t>Out</t>
        </is>
      </c>
      <c r="D61" s="66" t="inlineStr">
        <is>
          <t>Out/2015</t>
        </is>
      </c>
      <c r="E61" s="66" t="n">
        <v>2583.55</v>
      </c>
      <c r="F61" s="66">
        <f>IF(E61="","",E61*1.6)</f>
        <v/>
      </c>
      <c r="G61" s="66" t="n">
        <v>0.01</v>
      </c>
      <c r="H61" s="66">
        <f>IF(E61="","",E61+F61+IF(G61="",0,G61))</f>
        <v/>
      </c>
      <c r="I61" s="66" t="n"/>
      <c r="J61" s="77">
        <f>IF(OR(H61="",I61=""),"",H61-I61)</f>
        <v/>
      </c>
      <c r="K61" s="66" t="inlineStr">
        <is>
          <t>Conforme Portal SIAPE</t>
        </is>
      </c>
    </row>
    <row r="62" ht="15.75" customHeight="1" s="42">
      <c r="B62" s="68" t="n">
        <v>2015</v>
      </c>
      <c r="C62" s="68" t="inlineStr">
        <is>
          <t>Nov</t>
        </is>
      </c>
      <c r="D62" s="69" t="inlineStr">
        <is>
          <t>Nov/2015</t>
        </is>
      </c>
      <c r="E62" s="69" t="n">
        <v>2583.55</v>
      </c>
      <c r="F62" s="69">
        <f>IF(E62="","",E62*1.6)</f>
        <v/>
      </c>
      <c r="G62" s="69" t="n">
        <v>0.01</v>
      </c>
      <c r="H62" s="69">
        <f>IF(E62="","",E62+F62+IF(G62="",0,G62))</f>
        <v/>
      </c>
      <c r="I62" s="69" t="n"/>
      <c r="J62" s="77">
        <f>IF(OR(H62="",I62=""),"",H62-I62)</f>
        <v/>
      </c>
      <c r="K62" s="69" t="inlineStr">
        <is>
          <t>Conforme Portal SIAPE</t>
        </is>
      </c>
    </row>
    <row r="63" ht="15.75" customHeight="1" s="42">
      <c r="B63" s="65" t="n">
        <v>2015</v>
      </c>
      <c r="C63" s="65" t="inlineStr">
        <is>
          <t>Dez</t>
        </is>
      </c>
      <c r="D63" s="66" t="inlineStr">
        <is>
          <t>Dez/2015</t>
        </is>
      </c>
      <c r="E63" s="66" t="n">
        <v>2583.55</v>
      </c>
      <c r="F63" s="66">
        <f>IF(E63="","",E63*1.6)</f>
        <v/>
      </c>
      <c r="G63" s="66" t="n">
        <v>0.01</v>
      </c>
      <c r="H63" s="66">
        <f>IF(E63="","",E63+F63+IF(G63="",0,G63))</f>
        <v/>
      </c>
      <c r="I63" s="66" t="n"/>
      <c r="J63" s="77">
        <f>IF(OR(H63="",I63=""),"",H63-I63)</f>
        <v/>
      </c>
      <c r="K63" s="66" t="inlineStr">
        <is>
          <t>Conforme Portal SIAPE</t>
        </is>
      </c>
    </row>
    <row r="64" ht="15.75" customHeight="1" s="42">
      <c r="B64" s="68" t="n">
        <v>2016</v>
      </c>
      <c r="C64" s="68" t="inlineStr">
        <is>
          <t>Jan</t>
        </is>
      </c>
      <c r="D64" s="69" t="inlineStr">
        <is>
          <t>Jan/2016</t>
        </is>
      </c>
      <c r="E64" s="69" t="n">
        <v>2583.55</v>
      </c>
      <c r="F64" s="69">
        <f>IF(E64="","",E64*1.6)</f>
        <v/>
      </c>
      <c r="G64" s="69" t="n">
        <v>0.01</v>
      </c>
      <c r="H64" s="69">
        <f>IF(E64="","",E64+F64+IF(G64="",0,G64))</f>
        <v/>
      </c>
      <c r="I64" s="69" t="n"/>
      <c r="J64" s="77">
        <f>IF(OR(H64="",I64=""),"",H64-I64)</f>
        <v/>
      </c>
      <c r="K64" s="69" t="inlineStr">
        <is>
          <t>Conforme Portal SIAPE</t>
        </is>
      </c>
    </row>
    <row r="65" ht="15.75" customHeight="1" s="42">
      <c r="B65" s="65" t="n">
        <v>2016</v>
      </c>
      <c r="C65" s="65" t="inlineStr">
        <is>
          <t>Fev</t>
        </is>
      </c>
      <c r="D65" s="66" t="inlineStr">
        <is>
          <t>Fev/2016</t>
        </is>
      </c>
      <c r="E65" s="66" t="n">
        <v>2583.55</v>
      </c>
      <c r="F65" s="66">
        <f>IF(E65="","",E65*1.6)</f>
        <v/>
      </c>
      <c r="G65" s="66" t="n">
        <v>0.01</v>
      </c>
      <c r="H65" s="66">
        <f>IF(E65="","",E65+F65+IF(G65="",0,G65))</f>
        <v/>
      </c>
      <c r="I65" s="66" t="n"/>
      <c r="J65" s="77">
        <f>IF(OR(H65="",I65=""),"",H65-I65)</f>
        <v/>
      </c>
      <c r="K65" s="66" t="inlineStr">
        <is>
          <t>Conforme Portal SIAPE</t>
        </is>
      </c>
    </row>
    <row r="66" ht="15.75" customHeight="1" s="42">
      <c r="B66" s="68" t="n">
        <v>2016</v>
      </c>
      <c r="C66" s="68" t="inlineStr">
        <is>
          <t>Mar</t>
        </is>
      </c>
      <c r="D66" s="69" t="inlineStr">
        <is>
          <t>Mar/2016</t>
        </is>
      </c>
      <c r="E66" s="69" t="n">
        <v>2583.55</v>
      </c>
      <c r="F66" s="69">
        <f>IF(E66="","",E66*1.6)</f>
        <v/>
      </c>
      <c r="G66" s="69" t="n">
        <v>0.01</v>
      </c>
      <c r="H66" s="69">
        <f>IF(E66="","",E66+F66+IF(G66="",0,G66))</f>
        <v/>
      </c>
      <c r="I66" s="69" t="n"/>
      <c r="J66" s="77">
        <f>IF(OR(H66="",I66=""),"",H66-I66)</f>
        <v/>
      </c>
      <c r="K66" s="69" t="inlineStr">
        <is>
          <t>Conforme Portal SIAPE</t>
        </is>
      </c>
    </row>
    <row r="67" ht="15.75" customHeight="1" s="42">
      <c r="B67" s="65" t="n">
        <v>2016</v>
      </c>
      <c r="C67" s="65" t="inlineStr">
        <is>
          <t>Abr</t>
        </is>
      </c>
      <c r="D67" s="66" t="inlineStr">
        <is>
          <t>Abr/2016</t>
        </is>
      </c>
      <c r="E67" s="66" t="n">
        <v>2583.55</v>
      </c>
      <c r="F67" s="66">
        <f>IF(E67="","",E67*1.6)</f>
        <v/>
      </c>
      <c r="G67" s="66" t="n">
        <v>0.01</v>
      </c>
      <c r="H67" s="66">
        <f>IF(E67="","",E67+F67+IF(G67="",0,G67))</f>
        <v/>
      </c>
      <c r="I67" s="66" t="n"/>
      <c r="J67" s="77">
        <f>IF(OR(H67="",I67=""),"",H67-I67)</f>
        <v/>
      </c>
      <c r="K67" s="66" t="inlineStr">
        <is>
          <t>Conforme Portal SIAPE</t>
        </is>
      </c>
    </row>
    <row r="68" ht="15.75" customHeight="1" s="42">
      <c r="B68" s="68" t="n">
        <v>2016</v>
      </c>
      <c r="C68" s="68" t="inlineStr">
        <is>
          <t>Mai</t>
        </is>
      </c>
      <c r="D68" s="69" t="inlineStr">
        <is>
          <t>Mai/2016</t>
        </is>
      </c>
      <c r="E68" s="69" t="n">
        <v>2583.55</v>
      </c>
      <c r="F68" s="69">
        <f>IF(E68="","",E68*1.6)</f>
        <v/>
      </c>
      <c r="G68" s="69" t="n">
        <v>0.01</v>
      </c>
      <c r="H68" s="69">
        <f>IF(E68="","",E68+F68+IF(G68="",0,G68))</f>
        <v/>
      </c>
      <c r="I68" s="69" t="n"/>
      <c r="J68" s="77">
        <f>IF(OR(H68="",I68=""),"",H68-I68)</f>
        <v/>
      </c>
      <c r="K68" s="69" t="inlineStr">
        <is>
          <t>Conforme Portal SIAPE</t>
        </is>
      </c>
    </row>
    <row r="69" ht="15.75" customHeight="1" s="42">
      <c r="B69" s="65" t="n">
        <v>2016</v>
      </c>
      <c r="C69" s="65" t="inlineStr">
        <is>
          <t>Jun</t>
        </is>
      </c>
      <c r="D69" s="66" t="inlineStr">
        <is>
          <t>Jun/2016</t>
        </is>
      </c>
      <c r="E69" s="66" t="n">
        <v>2583.55</v>
      </c>
      <c r="F69" s="66">
        <f>IF(E69="","",E69*1.6)</f>
        <v/>
      </c>
      <c r="G69" s="66" t="n">
        <v>0.01</v>
      </c>
      <c r="H69" s="66">
        <f>IF(E69="","",E69+F69+IF(G69="",0,G69))</f>
        <v/>
      </c>
      <c r="I69" s="66" t="n"/>
      <c r="J69" s="77">
        <f>IF(OR(H69="",I69=""),"",H69-I69)</f>
        <v/>
      </c>
      <c r="K69" s="66" t="inlineStr">
        <is>
          <t>Conforme Portal SIAPE</t>
        </is>
      </c>
    </row>
    <row r="70" ht="15.75" customHeight="1" s="42">
      <c r="B70" s="68" t="n">
        <v>2016</v>
      </c>
      <c r="C70" s="68" t="inlineStr">
        <is>
          <t>Jul</t>
        </is>
      </c>
      <c r="D70" s="69" t="inlineStr">
        <is>
          <t>Jul/2016</t>
        </is>
      </c>
      <c r="E70" s="69" t="n">
        <v>2583.55</v>
      </c>
      <c r="F70" s="69">
        <f>IF(E70="","",E70*1.6)</f>
        <v/>
      </c>
      <c r="G70" s="69" t="n">
        <v>0.01</v>
      </c>
      <c r="H70" s="69">
        <f>IF(E70="","",E70+F70+IF(G70="",0,G70))</f>
        <v/>
      </c>
      <c r="I70" s="69" t="n"/>
      <c r="J70" s="77">
        <f>IF(OR(H70="",I70=""),"",H70-I70)</f>
        <v/>
      </c>
      <c r="K70" s="69" t="inlineStr">
        <is>
          <t>Conforme Portal SIAPE</t>
        </is>
      </c>
    </row>
    <row r="71" ht="15.75" customHeight="1" s="42">
      <c r="B71" s="65" t="n">
        <v>2016</v>
      </c>
      <c r="C71" s="65" t="inlineStr">
        <is>
          <t>Ago</t>
        </is>
      </c>
      <c r="D71" s="66" t="inlineStr">
        <is>
          <t>Ago/2016</t>
        </is>
      </c>
      <c r="E71" s="66" t="n">
        <v>2733.33</v>
      </c>
      <c r="F71" s="66">
        <f>IF(E71="","",E71*1.6)</f>
        <v/>
      </c>
      <c r="G71" s="66" t="n">
        <v>0.01</v>
      </c>
      <c r="H71" s="66">
        <f>IF(E71="","",E71+F71+IF(G71="",0,G71))</f>
        <v/>
      </c>
      <c r="I71" s="66" t="n"/>
      <c r="J71" s="77">
        <f>IF(OR(H71="",I71=""),"",H71-I71)</f>
        <v/>
      </c>
      <c r="K71" s="66" t="inlineStr">
        <is>
          <t>Conforme Portal SIAPE</t>
        </is>
      </c>
    </row>
    <row r="72" ht="15.75" customHeight="1" s="42">
      <c r="B72" s="68" t="n">
        <v>2016</v>
      </c>
      <c r="C72" s="68" t="inlineStr">
        <is>
          <t>Set</t>
        </is>
      </c>
      <c r="D72" s="69" t="inlineStr">
        <is>
          <t>Set/2016</t>
        </is>
      </c>
      <c r="E72" s="69" t="n">
        <v>2795.35</v>
      </c>
      <c r="F72" s="69">
        <f>IF(E72="","",E72*1.6)</f>
        <v/>
      </c>
      <c r="G72" s="69" t="n">
        <v>0.01</v>
      </c>
      <c r="H72" s="69">
        <f>IF(E72="","",E72+F72+IF(G72="",0,G72))</f>
        <v/>
      </c>
      <c r="I72" s="69" t="n"/>
      <c r="J72" s="77">
        <f>IF(OR(H72="",I72=""),"",H72-I72)</f>
        <v/>
      </c>
      <c r="K72" s="69" t="inlineStr">
        <is>
          <t>Conforme Portal SIAPE</t>
        </is>
      </c>
    </row>
    <row r="73" ht="15.75" customHeight="1" s="42">
      <c r="B73" s="65" t="n">
        <v>2016</v>
      </c>
      <c r="C73" s="65" t="inlineStr">
        <is>
          <t>Out</t>
        </is>
      </c>
      <c r="D73" s="66" t="inlineStr">
        <is>
          <t>Out/2016</t>
        </is>
      </c>
      <c r="E73" s="66" t="n">
        <v>2795.35</v>
      </c>
      <c r="F73" s="66">
        <f>IF(E73="","",E73*1.6)</f>
        <v/>
      </c>
      <c r="G73" s="66" t="n">
        <v>0.01</v>
      </c>
      <c r="H73" s="66">
        <f>IF(E73="","",E73+F73+IF(G73="",0,G73))</f>
        <v/>
      </c>
      <c r="I73" s="66" t="n"/>
      <c r="J73" s="77">
        <f>IF(OR(H73="",I73=""),"",H73-I73)</f>
        <v/>
      </c>
      <c r="K73" s="66" t="inlineStr">
        <is>
          <t>Conforme Portal SIAPE</t>
        </is>
      </c>
    </row>
    <row r="74" ht="15.75" customHeight="1" s="42">
      <c r="B74" s="68" t="n">
        <v>2016</v>
      </c>
      <c r="C74" s="68" t="inlineStr">
        <is>
          <t>Nov</t>
        </is>
      </c>
      <c r="D74" s="69" t="inlineStr">
        <is>
          <t>Nov/2016</t>
        </is>
      </c>
      <c r="E74" s="69" t="n">
        <v>2795.35</v>
      </c>
      <c r="F74" s="69">
        <f>IF(E74="","",E74*1.6)</f>
        <v/>
      </c>
      <c r="G74" s="69" t="n">
        <v>0.01</v>
      </c>
      <c r="H74" s="69">
        <f>IF(E74="","",E74+F74+IF(G74="",0,G74))</f>
        <v/>
      </c>
      <c r="I74" s="69" t="n"/>
      <c r="J74" s="77">
        <f>IF(OR(H74="",I74=""),"",H74-I74)</f>
        <v/>
      </c>
      <c r="K74" s="69" t="inlineStr">
        <is>
          <t>Conforme Portal SIAPE</t>
        </is>
      </c>
    </row>
    <row r="75" ht="15.75" customHeight="1" s="42">
      <c r="B75" s="65" t="n">
        <v>2016</v>
      </c>
      <c r="C75" s="65" t="inlineStr">
        <is>
          <t>Dez</t>
        </is>
      </c>
      <c r="D75" s="66" t="inlineStr">
        <is>
          <t>Dez/2016</t>
        </is>
      </c>
      <c r="E75" s="66" t="n">
        <v>2795.35</v>
      </c>
      <c r="F75" s="66">
        <f>IF(E75="","",E75*1.6)</f>
        <v/>
      </c>
      <c r="G75" s="66" t="n">
        <v>0.01</v>
      </c>
      <c r="H75" s="66">
        <f>IF(E75="","",E75+F75+IF(G75="",0,G75))</f>
        <v/>
      </c>
      <c r="I75" s="66" t="n"/>
      <c r="J75" s="77">
        <f>IF(OR(H75="",I75=""),"",H75-I75)</f>
        <v/>
      </c>
      <c r="K75" s="66" t="inlineStr">
        <is>
          <t>Conforme Portal SIAPE</t>
        </is>
      </c>
    </row>
    <row r="76" ht="15.75" customHeight="1" s="42">
      <c r="B76" s="68" t="n">
        <v>2017</v>
      </c>
      <c r="C76" s="68" t="inlineStr">
        <is>
          <t>Jan</t>
        </is>
      </c>
      <c r="D76" s="69" t="inlineStr">
        <is>
          <t>Jan/2017</t>
        </is>
      </c>
      <c r="E76" s="69" t="n">
        <v>3197.59</v>
      </c>
      <c r="F76" s="69">
        <f>IF(E76="","",E76*1.6)</f>
        <v/>
      </c>
      <c r="G76" s="69" t="n">
        <v>0.01</v>
      </c>
      <c r="H76" s="69">
        <f>IF(E76="","",E76+F76+IF(G76="",0,G76))</f>
        <v/>
      </c>
      <c r="I76" s="69" t="n"/>
      <c r="J76" s="77">
        <f>IF(OR(H76="",I76=""),"",H76-I76)</f>
        <v/>
      </c>
      <c r="K76" s="69" t="inlineStr">
        <is>
          <t>Conforme Portal SIAPE</t>
        </is>
      </c>
    </row>
    <row r="77" ht="15.75" customHeight="1" s="42">
      <c r="B77" s="65" t="n">
        <v>2017</v>
      </c>
      <c r="C77" s="65" t="inlineStr">
        <is>
          <t>Fev</t>
        </is>
      </c>
      <c r="D77" s="66" t="inlineStr">
        <is>
          <t>Fev/2017</t>
        </is>
      </c>
      <c r="E77" s="66" t="n">
        <v>3197.59</v>
      </c>
      <c r="F77" s="66">
        <f>IF(E77="","",E77*1.6)</f>
        <v/>
      </c>
      <c r="G77" s="66" t="n">
        <v>0.01</v>
      </c>
      <c r="H77" s="66">
        <f>IF(E77="","",E77+F77+IF(G77="",0,G77))</f>
        <v/>
      </c>
      <c r="I77" s="66" t="n"/>
      <c r="J77" s="77">
        <f>IF(OR(H77="",I77=""),"",H77-I77)</f>
        <v/>
      </c>
      <c r="K77" s="66" t="inlineStr">
        <is>
          <t>Conforme Portal SIAPE</t>
        </is>
      </c>
    </row>
    <row r="78" ht="15.75" customHeight="1" s="42">
      <c r="B78" s="68" t="n">
        <v>2017</v>
      </c>
      <c r="C78" s="68" t="inlineStr">
        <is>
          <t>Mar</t>
        </is>
      </c>
      <c r="D78" s="69" t="inlineStr">
        <is>
          <t>Mar/2017</t>
        </is>
      </c>
      <c r="E78" s="69" t="n">
        <v>3197.59</v>
      </c>
      <c r="F78" s="69">
        <f>IF(E78="","",E78*1.6)</f>
        <v/>
      </c>
      <c r="G78" s="69" t="n">
        <v>0.01</v>
      </c>
      <c r="H78" s="69">
        <f>IF(E78="","",E78+F78+IF(G78="",0,G78))</f>
        <v/>
      </c>
      <c r="I78" s="69" t="n"/>
      <c r="J78" s="77">
        <f>IF(OR(H78="",I78=""),"",H78-I78)</f>
        <v/>
      </c>
      <c r="K78" s="69" t="inlineStr">
        <is>
          <t>Conforme Portal SIAPE</t>
        </is>
      </c>
    </row>
    <row r="79" ht="15.75" customHeight="1" s="42">
      <c r="B79" s="65" t="n">
        <v>2017</v>
      </c>
      <c r="C79" s="65" t="inlineStr">
        <is>
          <t>Abr</t>
        </is>
      </c>
      <c r="D79" s="66" t="inlineStr">
        <is>
          <t>Abr/2017</t>
        </is>
      </c>
      <c r="E79" s="66" t="n">
        <v>3197.59</v>
      </c>
      <c r="F79" s="66">
        <f>IF(E79="","",E79*1.6)</f>
        <v/>
      </c>
      <c r="G79" s="66" t="n">
        <v>0.01</v>
      </c>
      <c r="H79" s="66">
        <f>IF(E79="","",E79+F79+IF(G79="",0,G79))</f>
        <v/>
      </c>
      <c r="I79" s="66" t="n"/>
      <c r="J79" s="77">
        <f>IF(OR(H79="",I79=""),"",H79-I79)</f>
        <v/>
      </c>
      <c r="K79" s="66" t="inlineStr">
        <is>
          <t>Conforme Portal SIAPE</t>
        </is>
      </c>
    </row>
    <row r="80" ht="15.75" customHeight="1" s="42">
      <c r="B80" s="68" t="n">
        <v>2017</v>
      </c>
      <c r="C80" s="68" t="inlineStr">
        <is>
          <t>Mai</t>
        </is>
      </c>
      <c r="D80" s="69" t="inlineStr">
        <is>
          <t>Mai/2017</t>
        </is>
      </c>
      <c r="E80" s="69" t="n">
        <v>3197.59</v>
      </c>
      <c r="F80" s="69">
        <f>IF(E80="","",E80*1.6)</f>
        <v/>
      </c>
      <c r="G80" s="69" t="n">
        <v>0.01</v>
      </c>
      <c r="H80" s="69">
        <f>IF(E80="","",E80+F80+IF(G80="",0,G80))</f>
        <v/>
      </c>
      <c r="I80" s="69" t="n"/>
      <c r="J80" s="77">
        <f>IF(OR(H80="",I80=""),"",H80-I80)</f>
        <v/>
      </c>
      <c r="K80" s="69" t="inlineStr">
        <is>
          <t>Conforme Portal SIAPE</t>
        </is>
      </c>
    </row>
    <row r="81" ht="15.75" customHeight="1" s="42">
      <c r="B81" s="65" t="n">
        <v>2017</v>
      </c>
      <c r="C81" s="65" t="inlineStr">
        <is>
          <t>Jun</t>
        </is>
      </c>
      <c r="D81" s="66" t="inlineStr">
        <is>
          <t>Jun/2017</t>
        </is>
      </c>
      <c r="E81" s="66" t="n">
        <v>3197.59</v>
      </c>
      <c r="F81" s="66">
        <f>IF(E81="","",E81*1.6)</f>
        <v/>
      </c>
      <c r="G81" s="66" t="n">
        <v>0.01</v>
      </c>
      <c r="H81" s="66">
        <f>IF(E81="","",E81+F81+IF(G81="",0,G81))</f>
        <v/>
      </c>
      <c r="I81" s="66" t="n"/>
      <c r="J81" s="77">
        <f>IF(OR(H81="",I81=""),"",H81-I81)</f>
        <v/>
      </c>
      <c r="K81" s="66" t="inlineStr">
        <is>
          <t>Conforme Portal SIAPE</t>
        </is>
      </c>
    </row>
    <row r="82" ht="15.75" customHeight="1" s="42">
      <c r="B82" s="68" t="n">
        <v>2017</v>
      </c>
      <c r="C82" s="68" t="inlineStr">
        <is>
          <t>Jul</t>
        </is>
      </c>
      <c r="D82" s="69" t="inlineStr">
        <is>
          <t>Jul/2017</t>
        </is>
      </c>
      <c r="E82" s="69" t="n">
        <v>3197.59</v>
      </c>
      <c r="F82" s="69">
        <f>IF(E82="","",E82*1.6)</f>
        <v/>
      </c>
      <c r="G82" s="69" t="n">
        <v>0.01</v>
      </c>
      <c r="H82" s="69">
        <f>IF(E82="","",E82+F82+IF(G82="",0,G82))</f>
        <v/>
      </c>
      <c r="I82" s="69" t="n"/>
      <c r="J82" s="77">
        <f>IF(OR(H82="",I82=""),"",H82-I82)</f>
        <v/>
      </c>
      <c r="K82" s="69" t="inlineStr">
        <is>
          <t>Conforme Portal SIAPE</t>
        </is>
      </c>
    </row>
    <row r="83" ht="15.75" customHeight="1" s="42">
      <c r="B83" s="65" t="n">
        <v>2017</v>
      </c>
      <c r="C83" s="65" t="inlineStr">
        <is>
          <t>Ago</t>
        </is>
      </c>
      <c r="D83" s="66" t="inlineStr">
        <is>
          <t>Ago/2017</t>
        </is>
      </c>
      <c r="E83" s="66" t="n">
        <v>3197.59</v>
      </c>
      <c r="F83" s="66">
        <f>IF(E83="","",E83*1.6)</f>
        <v/>
      </c>
      <c r="G83" s="66" t="n">
        <v>0.01</v>
      </c>
      <c r="H83" s="66">
        <f>IF(E83="","",E83+F83+IF(G83="",0,G83))</f>
        <v/>
      </c>
      <c r="I83" s="66" t="n"/>
      <c r="J83" s="77">
        <f>IF(OR(H83="",I83=""),"",H83-I83)</f>
        <v/>
      </c>
      <c r="K83" s="66" t="inlineStr">
        <is>
          <t>Conforme Portal SIAPE</t>
        </is>
      </c>
    </row>
    <row r="84" ht="15.75" customHeight="1" s="42">
      <c r="B84" s="68" t="n">
        <v>2017</v>
      </c>
      <c r="C84" s="68" t="inlineStr">
        <is>
          <t>Set</t>
        </is>
      </c>
      <c r="D84" s="69" t="inlineStr">
        <is>
          <t>Set/2017</t>
        </is>
      </c>
      <c r="E84" s="69" t="n">
        <v>3274.2</v>
      </c>
      <c r="F84" s="69">
        <f>IF(E84="","",E84*1.6)</f>
        <v/>
      </c>
      <c r="G84" s="69" t="n">
        <v>0</v>
      </c>
      <c r="H84" s="69">
        <f>IF(E84="","",E84+F84+IF(G84="",0,G84))</f>
        <v/>
      </c>
      <c r="I84" s="69" t="n"/>
      <c r="J84" s="77">
        <f>IF(OR(H84="",I84=""),"",H84-I84)</f>
        <v/>
      </c>
      <c r="K84" s="69" t="inlineStr">
        <is>
          <t>Conforme Portal SIAPE</t>
        </is>
      </c>
    </row>
    <row r="85" ht="15.75" customHeight="1" s="42">
      <c r="B85" s="65" t="n">
        <v>2017</v>
      </c>
      <c r="C85" s="65" t="inlineStr">
        <is>
          <t>Out</t>
        </is>
      </c>
      <c r="D85" s="66" t="inlineStr">
        <is>
          <t>Out/2017</t>
        </is>
      </c>
      <c r="E85" s="66" t="n">
        <v>3274.2</v>
      </c>
      <c r="F85" s="66">
        <f>IF(E85="","",E85*1.6)</f>
        <v/>
      </c>
      <c r="G85" s="66" t="n">
        <v>0</v>
      </c>
      <c r="H85" s="66">
        <f>IF(E85="","",E85+F85+IF(G85="",0,G85))</f>
        <v/>
      </c>
      <c r="I85" s="66" t="n"/>
      <c r="J85" s="77">
        <f>IF(OR(H85="",I85=""),"",H85-I85)</f>
        <v/>
      </c>
      <c r="K85" s="66" t="inlineStr">
        <is>
          <t>Conforme Portal SIAPE</t>
        </is>
      </c>
    </row>
    <row r="86" ht="15.75" customHeight="1" s="42">
      <c r="B86" s="68" t="n">
        <v>2017</v>
      </c>
      <c r="C86" s="68" t="inlineStr">
        <is>
          <t>Nov</t>
        </is>
      </c>
      <c r="D86" s="69" t="inlineStr">
        <is>
          <t>Nov/2017</t>
        </is>
      </c>
      <c r="E86" s="69" t="n">
        <v>3274.2</v>
      </c>
      <c r="F86" s="69">
        <f>IF(E86="","",E86*1.6)</f>
        <v/>
      </c>
      <c r="G86" s="69" t="n">
        <v>0</v>
      </c>
      <c r="H86" s="69">
        <f>IF(E86="","",E86+F86+IF(G86="",0,G86))</f>
        <v/>
      </c>
      <c r="I86" s="69" t="n"/>
      <c r="J86" s="77">
        <f>IF(OR(H86="",I86=""),"",H86-I86)</f>
        <v/>
      </c>
      <c r="K86" s="69" t="inlineStr">
        <is>
          <t>Conforme Portal SIAPE</t>
        </is>
      </c>
    </row>
    <row r="87" ht="15.75" customHeight="1" s="42">
      <c r="B87" s="65" t="n">
        <v>2017</v>
      </c>
      <c r="C87" s="65" t="inlineStr">
        <is>
          <t>Dez</t>
        </is>
      </c>
      <c r="D87" s="66" t="inlineStr">
        <is>
          <t>Dez/2017</t>
        </is>
      </c>
      <c r="E87" s="66" t="n">
        <v>3274.2</v>
      </c>
      <c r="F87" s="66">
        <f>IF(E87="","",E87*1.6)</f>
        <v/>
      </c>
      <c r="G87" s="66" t="n">
        <v>0</v>
      </c>
      <c r="H87" s="66">
        <f>IF(E87="","",E87+F87+IF(G87="",0,G87))</f>
        <v/>
      </c>
      <c r="I87" s="66" t="n"/>
      <c r="J87" s="77">
        <f>IF(OR(H87="",I87=""),"",H87-I87)</f>
        <v/>
      </c>
      <c r="K87" s="66" t="inlineStr">
        <is>
          <t>Conforme Portal SIAPE</t>
        </is>
      </c>
    </row>
    <row r="88" ht="15.75" customHeight="1" s="42">
      <c r="B88" s="68" t="n">
        <v>2018</v>
      </c>
      <c r="C88" s="68" t="inlineStr">
        <is>
          <t>Jan</t>
        </is>
      </c>
      <c r="D88" s="69" t="inlineStr">
        <is>
          <t>Jan/2018</t>
        </is>
      </c>
      <c r="E88" s="69" t="n">
        <v>3301.25</v>
      </c>
      <c r="F88" s="69">
        <f>IF(E88="","",E88*1.6)</f>
        <v/>
      </c>
      <c r="G88" s="69" t="n">
        <v>0.01</v>
      </c>
      <c r="H88" s="69">
        <f>IF(E88="","",E88+F88+IF(G88="",0,G88))</f>
        <v/>
      </c>
      <c r="I88" s="69" t="n"/>
      <c r="J88" s="77">
        <f>IF(OR(H88="",I88=""),"",H88-I88)</f>
        <v/>
      </c>
      <c r="K88" s="69" t="inlineStr">
        <is>
          <t>Conforme Portal SIAPE</t>
        </is>
      </c>
    </row>
    <row r="89" ht="15.75" customHeight="1" s="42">
      <c r="B89" s="65" t="n">
        <v>2018</v>
      </c>
      <c r="C89" s="65" t="inlineStr">
        <is>
          <t>Fev</t>
        </is>
      </c>
      <c r="D89" s="66" t="inlineStr">
        <is>
          <t>Fev/2018</t>
        </is>
      </c>
      <c r="E89" s="66" t="n">
        <v>3301.25</v>
      </c>
      <c r="F89" s="66">
        <f>IF(E89="","",E89*1.6)</f>
        <v/>
      </c>
      <c r="G89" s="66" t="n">
        <v>0.01</v>
      </c>
      <c r="H89" s="66">
        <f>IF(E89="","",E89+F89+IF(G89="",0,G89))</f>
        <v/>
      </c>
      <c r="I89" s="66" t="n"/>
      <c r="J89" s="77">
        <f>IF(OR(H89="",I89=""),"",H89-I89)</f>
        <v/>
      </c>
      <c r="K89" s="66" t="inlineStr">
        <is>
          <t>Conforme Portal SIAPE</t>
        </is>
      </c>
    </row>
    <row r="90" ht="15.75" customHeight="1" s="42">
      <c r="B90" s="68" t="n">
        <v>2018</v>
      </c>
      <c r="C90" s="68" t="inlineStr">
        <is>
          <t>Mar</t>
        </is>
      </c>
      <c r="D90" s="69" t="inlineStr">
        <is>
          <t>Mar/2018</t>
        </is>
      </c>
      <c r="E90" s="69" t="n">
        <v>3301.25</v>
      </c>
      <c r="F90" s="69">
        <f>IF(E90="","",E90*1.6)</f>
        <v/>
      </c>
      <c r="G90" s="69" t="n">
        <v>0.01</v>
      </c>
      <c r="H90" s="69">
        <f>IF(E90="","",E90+F90+IF(G90="",0,G90))</f>
        <v/>
      </c>
      <c r="I90" s="69" t="n"/>
      <c r="J90" s="77">
        <f>IF(OR(H90="",I90=""),"",H90-I90)</f>
        <v/>
      </c>
      <c r="K90" s="69" t="inlineStr">
        <is>
          <t>Conforme Portal SIAPE</t>
        </is>
      </c>
    </row>
    <row r="91" ht="15.75" customHeight="1" s="42">
      <c r="B91" s="65" t="n">
        <v>2018</v>
      </c>
      <c r="C91" s="65" t="inlineStr">
        <is>
          <t>Abr</t>
        </is>
      </c>
      <c r="D91" s="66" t="inlineStr">
        <is>
          <t>Abr/2018</t>
        </is>
      </c>
      <c r="E91" s="66" t="n">
        <v>3301.25</v>
      </c>
      <c r="F91" s="66">
        <f>IF(E91="","",E91*1.6)</f>
        <v/>
      </c>
      <c r="G91" s="66" t="n">
        <v>0.01</v>
      </c>
      <c r="H91" s="66">
        <f>IF(E91="","",E91+F91+IF(G91="",0,G91))</f>
        <v/>
      </c>
      <c r="I91" s="66" t="n"/>
      <c r="J91" s="77">
        <f>IF(OR(H91="",I91=""),"",H91-I91)</f>
        <v/>
      </c>
      <c r="K91" s="66" t="inlineStr">
        <is>
          <t>Conforme Portal SIAPE</t>
        </is>
      </c>
    </row>
    <row r="92" ht="15.75" customHeight="1" s="42">
      <c r="B92" s="68" t="n">
        <v>2018</v>
      </c>
      <c r="C92" s="68" t="inlineStr">
        <is>
          <t>Mai</t>
        </is>
      </c>
      <c r="D92" s="69" t="inlineStr">
        <is>
          <t>Mai/2018</t>
        </is>
      </c>
      <c r="E92" s="69" t="n">
        <v>3301.25</v>
      </c>
      <c r="F92" s="69">
        <f>IF(E92="","",E92*1.6)</f>
        <v/>
      </c>
      <c r="G92" s="69" t="n">
        <v>0.01</v>
      </c>
      <c r="H92" s="69">
        <f>IF(E92="","",E92+F92+IF(G92="",0,G92))</f>
        <v/>
      </c>
      <c r="I92" s="69" t="n"/>
      <c r="J92" s="77">
        <f>IF(OR(H92="",I92=""),"",H92-I92)</f>
        <v/>
      </c>
      <c r="K92" s="69" t="inlineStr">
        <is>
          <t>Conforme Portal SIAPE</t>
        </is>
      </c>
    </row>
    <row r="93" ht="15.75" customHeight="1" s="42">
      <c r="B93" s="65" t="n">
        <v>2018</v>
      </c>
      <c r="C93" s="65" t="inlineStr">
        <is>
          <t>Jun</t>
        </is>
      </c>
      <c r="D93" s="66" t="inlineStr">
        <is>
          <t>Jun/2018</t>
        </is>
      </c>
      <c r="E93" s="66" t="n">
        <v>3301.25</v>
      </c>
      <c r="F93" s="66">
        <f>IF(E93="","",E93*1.6)</f>
        <v/>
      </c>
      <c r="G93" s="66" t="n">
        <v>0.01</v>
      </c>
      <c r="H93" s="66">
        <f>IF(E93="","",E93+F93+IF(G93="",0,G93))</f>
        <v/>
      </c>
      <c r="I93" s="66" t="n"/>
      <c r="J93" s="77">
        <f>IF(OR(H93="",I93=""),"",H93-I93)</f>
        <v/>
      </c>
      <c r="K93" s="66" t="inlineStr">
        <is>
          <t>Conforme Portal SIAPE</t>
        </is>
      </c>
    </row>
    <row r="94" ht="15.75" customHeight="1" s="42">
      <c r="B94" s="68" t="n">
        <v>2018</v>
      </c>
      <c r="C94" s="68" t="inlineStr">
        <is>
          <t>Jul</t>
        </is>
      </c>
      <c r="D94" s="69" t="inlineStr">
        <is>
          <t>Jul/2018</t>
        </is>
      </c>
      <c r="E94" s="69" t="n">
        <v>3301.25</v>
      </c>
      <c r="F94" s="69">
        <f>IF(E94="","",E94*1.6)</f>
        <v/>
      </c>
      <c r="G94" s="69" t="n">
        <v>0.01</v>
      </c>
      <c r="H94" s="69">
        <f>IF(E94="","",E94+F94+IF(G94="",0,G94))</f>
        <v/>
      </c>
      <c r="I94" s="69" t="n"/>
      <c r="J94" s="77">
        <f>IF(OR(H94="",I94=""),"",H94-I94)</f>
        <v/>
      </c>
      <c r="K94" s="69" t="inlineStr">
        <is>
          <t>Conforme Portal SIAPE</t>
        </is>
      </c>
    </row>
    <row r="95" ht="15.75" customHeight="1" s="42">
      <c r="B95" s="65" t="n">
        <v>2018</v>
      </c>
      <c r="C95" s="65" t="inlineStr">
        <is>
          <t>Ago</t>
        </is>
      </c>
      <c r="D95" s="66" t="inlineStr">
        <is>
          <t>Ago/2018</t>
        </is>
      </c>
      <c r="E95" s="66" t="n">
        <v>3301.25</v>
      </c>
      <c r="F95" s="66">
        <f>IF(E95="","",E95*1.6)</f>
        <v/>
      </c>
      <c r="G95" s="66" t="n">
        <v>0.01</v>
      </c>
      <c r="H95" s="66">
        <f>IF(E95="","",E95+F95+IF(G95="",0,G95))</f>
        <v/>
      </c>
      <c r="I95" s="66" t="n"/>
      <c r="J95" s="77">
        <f>IF(OR(H95="",I95=""),"",H95-I95)</f>
        <v/>
      </c>
      <c r="K95" s="66" t="inlineStr">
        <is>
          <t>Conforme Portal SIAPE</t>
        </is>
      </c>
    </row>
    <row r="96" ht="15.75" customHeight="1" s="42">
      <c r="B96" s="68" t="n">
        <v>2018</v>
      </c>
      <c r="C96" s="68" t="inlineStr">
        <is>
          <t>Set</t>
        </is>
      </c>
      <c r="D96" s="69" t="inlineStr">
        <is>
          <t>Set/2018</t>
        </is>
      </c>
      <c r="E96" s="69" t="n">
        <v>3428.85</v>
      </c>
      <c r="F96" s="69">
        <f>IF(E96="","",E96*1.6)</f>
        <v/>
      </c>
      <c r="G96" s="69" t="n">
        <v>0</v>
      </c>
      <c r="H96" s="69">
        <f>IF(E96="","",E96+F96+IF(G96="",0,G96))</f>
        <v/>
      </c>
      <c r="I96" s="69" t="n"/>
      <c r="J96" s="77">
        <f>IF(OR(H96="",I96=""),"",H96-I96)</f>
        <v/>
      </c>
      <c r="K96" s="69" t="inlineStr">
        <is>
          <t>Conforme Portal SIAPE</t>
        </is>
      </c>
    </row>
    <row r="97" ht="15.75" customHeight="1" s="42">
      <c r="B97" s="65" t="n">
        <v>2018</v>
      </c>
      <c r="C97" s="65" t="inlineStr">
        <is>
          <t>Out</t>
        </is>
      </c>
      <c r="D97" s="66" t="inlineStr">
        <is>
          <t>Out/2018</t>
        </is>
      </c>
      <c r="E97" s="66" t="n">
        <v>3428.85</v>
      </c>
      <c r="F97" s="66">
        <f>IF(E97="","",E97*1.6)</f>
        <v/>
      </c>
      <c r="G97" s="66" t="n">
        <v>0</v>
      </c>
      <c r="H97" s="66">
        <f>IF(E97="","",E97+F97+IF(G97="",0,G97))</f>
        <v/>
      </c>
      <c r="I97" s="66" t="n"/>
      <c r="J97" s="77">
        <f>IF(OR(H97="",I97=""),"",H97-I97)</f>
        <v/>
      </c>
      <c r="K97" s="66" t="inlineStr">
        <is>
          <t>Conforme Portal SIAPE</t>
        </is>
      </c>
    </row>
    <row r="98" ht="15.75" customHeight="1" s="42">
      <c r="B98" s="68" t="n">
        <v>2018</v>
      </c>
      <c r="C98" s="68" t="inlineStr">
        <is>
          <t>Nov</t>
        </is>
      </c>
      <c r="D98" s="69" t="inlineStr">
        <is>
          <t>Nov/2018</t>
        </is>
      </c>
      <c r="E98" s="69" t="n">
        <v>3428.85</v>
      </c>
      <c r="F98" s="69">
        <f>IF(E98="","",E98*1.6)</f>
        <v/>
      </c>
      <c r="G98" s="69" t="n">
        <v>0</v>
      </c>
      <c r="H98" s="69">
        <f>IF(E98="","",E98+F98+IF(G98="",0,G98))</f>
        <v/>
      </c>
      <c r="I98" s="69" t="n"/>
      <c r="J98" s="77">
        <f>IF(OR(H98="",I98=""),"",H98-I98)</f>
        <v/>
      </c>
      <c r="K98" s="69" t="inlineStr">
        <is>
          <t>Conforme Portal SIAPE</t>
        </is>
      </c>
    </row>
    <row r="99" ht="15.75" customHeight="1" s="42">
      <c r="B99" s="65" t="n">
        <v>2018</v>
      </c>
      <c r="C99" s="65" t="inlineStr">
        <is>
          <t>Dez</t>
        </is>
      </c>
      <c r="D99" s="66" t="inlineStr">
        <is>
          <t>Dez/2018</t>
        </is>
      </c>
      <c r="E99" s="66" t="n">
        <v>3428.85</v>
      </c>
      <c r="F99" s="66">
        <f>IF(E99="","",E99*1.6)</f>
        <v/>
      </c>
      <c r="G99" s="66" t="n">
        <v>0</v>
      </c>
      <c r="H99" s="66">
        <f>IF(E99="","",E99+F99+IF(G99="",0,G99))</f>
        <v/>
      </c>
      <c r="I99" s="66" t="n"/>
      <c r="J99" s="77">
        <f>IF(OR(H99="",I99=""),"",H99-I99)</f>
        <v/>
      </c>
      <c r="K99" s="66" t="inlineStr">
        <is>
          <t>Conforme Portal SIAPE</t>
        </is>
      </c>
    </row>
    <row r="100" ht="15.75" customHeight="1" s="42">
      <c r="B100" s="68" t="n">
        <v>2019</v>
      </c>
      <c r="C100" s="68" t="inlineStr">
        <is>
          <t>Jan</t>
        </is>
      </c>
      <c r="D100" s="69" t="inlineStr">
        <is>
          <t>Jan/2019</t>
        </is>
      </c>
      <c r="E100" s="69" t="n">
        <v>3421.15</v>
      </c>
      <c r="F100" s="69">
        <f>IF(E100="","",E100*1.6)</f>
        <v/>
      </c>
      <c r="G100" s="69" t="n">
        <v>0.01</v>
      </c>
      <c r="H100" s="69">
        <f>IF(E100="","",E100+F100+IF(G100="",0,G100))</f>
        <v/>
      </c>
      <c r="I100" s="69" t="n"/>
      <c r="J100" s="77">
        <f>IF(OR(H100="",I100=""),"",H100-I100)</f>
        <v/>
      </c>
      <c r="K100" s="69" t="inlineStr">
        <is>
          <t>Conforme Portal SIAPE</t>
        </is>
      </c>
    </row>
    <row r="101" ht="15.75" customHeight="1" s="42">
      <c r="B101" s="65" t="n">
        <v>2019</v>
      </c>
      <c r="C101" s="65" t="inlineStr">
        <is>
          <t>Fev</t>
        </is>
      </c>
      <c r="D101" s="66" t="inlineStr">
        <is>
          <t>Fev/2019</t>
        </is>
      </c>
      <c r="E101" s="66" t="n">
        <v>3421.15</v>
      </c>
      <c r="F101" s="66">
        <f>IF(E101="","",E101*1.6)</f>
        <v/>
      </c>
      <c r="G101" s="66" t="n">
        <v>0.01</v>
      </c>
      <c r="H101" s="66">
        <f>IF(E101="","",E101+F101+IF(G101="",0,G101))</f>
        <v/>
      </c>
      <c r="I101" s="66" t="n"/>
      <c r="J101" s="77">
        <f>IF(OR(H101="",I101=""),"",H101-I101)</f>
        <v/>
      </c>
      <c r="K101" s="66" t="inlineStr">
        <is>
          <t>Conforme Portal SIAPE</t>
        </is>
      </c>
    </row>
    <row r="102" ht="15.75" customHeight="1" s="42">
      <c r="B102" s="68" t="n">
        <v>2019</v>
      </c>
      <c r="C102" s="68" t="inlineStr">
        <is>
          <t>Mar</t>
        </is>
      </c>
      <c r="D102" s="69" t="inlineStr">
        <is>
          <t>Mar/2019</t>
        </is>
      </c>
      <c r="E102" s="69" t="n">
        <v>3421.15</v>
      </c>
      <c r="F102" s="69">
        <f>IF(E102="","",E102*1.6)</f>
        <v/>
      </c>
      <c r="G102" s="69" t="n">
        <v>0.01</v>
      </c>
      <c r="H102" s="69">
        <f>IF(E102="","",E102+F102+IF(G102="",0,G102))</f>
        <v/>
      </c>
      <c r="I102" s="69" t="n"/>
      <c r="J102" s="77">
        <f>IF(OR(H102="",I102=""),"",H102-I102)</f>
        <v/>
      </c>
      <c r="K102" s="69" t="inlineStr">
        <is>
          <t>Conforme Portal SIAPE</t>
        </is>
      </c>
    </row>
    <row r="103" ht="15.75" customHeight="1" s="42">
      <c r="B103" s="65" t="n">
        <v>2019</v>
      </c>
      <c r="C103" s="65" t="inlineStr">
        <is>
          <t>Abr</t>
        </is>
      </c>
      <c r="D103" s="66" t="inlineStr">
        <is>
          <t>Abr/2019</t>
        </is>
      </c>
      <c r="E103" s="66" t="n">
        <v>3421.15</v>
      </c>
      <c r="F103" s="66">
        <f>IF(E103="","",E103*1.6)</f>
        <v/>
      </c>
      <c r="G103" s="66" t="n">
        <v>0.01</v>
      </c>
      <c r="H103" s="66">
        <f>IF(E103="","",E103+F103+IF(G103="",0,G103))</f>
        <v/>
      </c>
      <c r="I103" s="66" t="n"/>
      <c r="J103" s="77">
        <f>IF(OR(H103="",I103=""),"",H103-I103)</f>
        <v/>
      </c>
      <c r="K103" s="66" t="inlineStr">
        <is>
          <t>Conforme Portal SIAPE</t>
        </is>
      </c>
    </row>
    <row r="104" ht="15.75" customHeight="1" s="42">
      <c r="B104" s="68" t="n">
        <v>2019</v>
      </c>
      <c r="C104" s="68" t="inlineStr">
        <is>
          <t>Mai</t>
        </is>
      </c>
      <c r="D104" s="69" t="inlineStr">
        <is>
          <t>Mai/2019</t>
        </is>
      </c>
      <c r="E104" s="69" t="n">
        <v>3421.15</v>
      </c>
      <c r="F104" s="69">
        <f>IF(E104="","",E104*1.6)</f>
        <v/>
      </c>
      <c r="G104" s="69" t="n">
        <v>0.01</v>
      </c>
      <c r="H104" s="69">
        <f>IF(E104="","",E104+F104+IF(G104="",0,G104))</f>
        <v/>
      </c>
      <c r="I104" s="69" t="n"/>
      <c r="J104" s="77">
        <f>IF(OR(H104="",I104=""),"",H104-I104)</f>
        <v/>
      </c>
      <c r="K104" s="69" t="inlineStr">
        <is>
          <t>Conforme Portal SIAPE</t>
        </is>
      </c>
    </row>
    <row r="105" ht="15.75" customHeight="1" s="42">
      <c r="B105" s="65" t="n">
        <v>2019</v>
      </c>
      <c r="C105" s="65" t="inlineStr">
        <is>
          <t>Jun</t>
        </is>
      </c>
      <c r="D105" s="66" t="inlineStr">
        <is>
          <t>Jun/2019</t>
        </is>
      </c>
      <c r="E105" s="66" t="n">
        <v>3421.15</v>
      </c>
      <c r="F105" s="66">
        <f>IF(E105="","",E105*1.6)</f>
        <v/>
      </c>
      <c r="G105" s="66" t="n">
        <v>0.01</v>
      </c>
      <c r="H105" s="66">
        <f>IF(E105="","",E105+F105+IF(G105="",0,G105))</f>
        <v/>
      </c>
      <c r="I105" s="66" t="n"/>
      <c r="J105" s="77">
        <f>IF(OR(H105="",I105=""),"",H105-I105)</f>
        <v/>
      </c>
      <c r="K105" s="66" t="inlineStr">
        <is>
          <t>Conforme Portal SIAPE</t>
        </is>
      </c>
    </row>
    <row r="106" ht="15.75" customHeight="1" s="42">
      <c r="B106" s="68" t="n">
        <v>2019</v>
      </c>
      <c r="C106" s="68" t="inlineStr">
        <is>
          <t>Jul</t>
        </is>
      </c>
      <c r="D106" s="69" t="inlineStr">
        <is>
          <t>Jul/2019</t>
        </is>
      </c>
      <c r="E106" s="69" t="n">
        <v>3421.15</v>
      </c>
      <c r="F106" s="69">
        <f>IF(E106="","",E106*1.6)</f>
        <v/>
      </c>
      <c r="G106" s="69" t="n">
        <v>0.01</v>
      </c>
      <c r="H106" s="69">
        <f>IF(E106="","",E106+F106+IF(G106="",0,G106))</f>
        <v/>
      </c>
      <c r="I106" s="69" t="n"/>
      <c r="J106" s="77">
        <f>IF(OR(H106="",I106=""),"",H106-I106)</f>
        <v/>
      </c>
      <c r="K106" s="69" t="inlineStr">
        <is>
          <t>Conforme Portal SIAPE</t>
        </is>
      </c>
    </row>
    <row r="107" ht="15.75" customHeight="1" s="42">
      <c r="B107" s="65" t="n">
        <v>2019</v>
      </c>
      <c r="C107" s="65" t="inlineStr">
        <is>
          <t>Ago</t>
        </is>
      </c>
      <c r="D107" s="66" t="inlineStr">
        <is>
          <t>Ago/2019</t>
        </is>
      </c>
      <c r="E107" s="66" t="n">
        <v>3421.15</v>
      </c>
      <c r="F107" s="66">
        <f>IF(E107="","",E107*1.6)</f>
        <v/>
      </c>
      <c r="G107" s="66" t="n">
        <v>0.01</v>
      </c>
      <c r="H107" s="66">
        <f>IF(E107="","",E107+F107+IF(G107="",0,G107))</f>
        <v/>
      </c>
      <c r="I107" s="66" t="n"/>
      <c r="J107" s="77">
        <f>IF(OR(H107="",I107=""),"",H107-I107)</f>
        <v/>
      </c>
      <c r="K107" s="66" t="inlineStr">
        <is>
          <t>Conforme Portal SIAPE</t>
        </is>
      </c>
    </row>
    <row r="108" ht="15.75" customHeight="1" s="42">
      <c r="B108" s="68" t="n">
        <v>2019</v>
      </c>
      <c r="C108" s="68" t="inlineStr">
        <is>
          <t>Set</t>
        </is>
      </c>
      <c r="D108" s="69" t="inlineStr">
        <is>
          <t>Set/2019</t>
        </is>
      </c>
      <c r="E108" s="69" t="n">
        <v>3503.99</v>
      </c>
      <c r="F108" s="69">
        <f>IF(E108="","",E108*1.6)</f>
        <v/>
      </c>
      <c r="G108" s="69" t="n">
        <v>0.01</v>
      </c>
      <c r="H108" s="69">
        <f>IF(E108="","",E108+F108+IF(G108="",0,G108))</f>
        <v/>
      </c>
      <c r="I108" s="69" t="n"/>
      <c r="J108" s="77">
        <f>IF(OR(H108="",I108=""),"",H108-I108)</f>
        <v/>
      </c>
      <c r="K108" s="69" t="inlineStr">
        <is>
          <t>Conforme Portal SIAPE</t>
        </is>
      </c>
    </row>
    <row r="109" ht="15.75" customHeight="1" s="42">
      <c r="B109" s="65" t="n">
        <v>2019</v>
      </c>
      <c r="C109" s="65" t="inlineStr">
        <is>
          <t>Out</t>
        </is>
      </c>
      <c r="D109" s="66" t="inlineStr">
        <is>
          <t>Out/2019</t>
        </is>
      </c>
      <c r="E109" s="66" t="n">
        <v>3503.99</v>
      </c>
      <c r="F109" s="66">
        <f>IF(E109="","",E109*1.6)</f>
        <v/>
      </c>
      <c r="G109" s="66" t="n">
        <v>0.01</v>
      </c>
      <c r="H109" s="66">
        <f>IF(E109="","",E109+F109+IF(G109="",0,G109))</f>
        <v/>
      </c>
      <c r="I109" s="66" t="n"/>
      <c r="J109" s="77">
        <f>IF(OR(H109="",I109=""),"",H109-I109)</f>
        <v/>
      </c>
      <c r="K109" s="66" t="inlineStr">
        <is>
          <t>Conforme Portal SIAPE</t>
        </is>
      </c>
    </row>
    <row r="110" ht="15.75" customHeight="1" s="42">
      <c r="B110" s="68" t="n">
        <v>2019</v>
      </c>
      <c r="C110" s="68" t="inlineStr">
        <is>
          <t>Nov</t>
        </is>
      </c>
      <c r="D110" s="69" t="inlineStr">
        <is>
          <t>Nov/2019</t>
        </is>
      </c>
      <c r="E110" s="69" t="n">
        <v>3503.99</v>
      </c>
      <c r="F110" s="69">
        <f>IF(E110="","",E110*1.6)</f>
        <v/>
      </c>
      <c r="G110" s="69" t="n">
        <v>0.01</v>
      </c>
      <c r="H110" s="69">
        <f>IF(E110="","",E110+F110+IF(G110="",0,G110))</f>
        <v/>
      </c>
      <c r="I110" s="69" t="n"/>
      <c r="J110" s="77">
        <f>IF(OR(H110="",I110=""),"",H110-I110)</f>
        <v/>
      </c>
      <c r="K110" s="69" t="inlineStr">
        <is>
          <t>Conforme Portal SIAPE</t>
        </is>
      </c>
    </row>
    <row r="111" ht="15.75" customHeight="1" s="42">
      <c r="B111" s="65" t="n">
        <v>2019</v>
      </c>
      <c r="C111" s="65" t="inlineStr">
        <is>
          <t>Dez</t>
        </is>
      </c>
      <c r="D111" s="66" t="inlineStr">
        <is>
          <t>Dez/2019</t>
        </is>
      </c>
      <c r="E111" s="66" t="n">
        <v>3503.99</v>
      </c>
      <c r="F111" s="66">
        <f>IF(E111="","",E111*1.6)</f>
        <v/>
      </c>
      <c r="G111" s="66" t="n">
        <v>0.01</v>
      </c>
      <c r="H111" s="66">
        <f>IF(E111="","",E111+F111+IF(G111="",0,G111))</f>
        <v/>
      </c>
      <c r="I111" s="66" t="n"/>
      <c r="J111" s="77">
        <f>IF(OR(H111="",I111=""),"",H111-I111)</f>
        <v/>
      </c>
      <c r="K111" s="66" t="inlineStr">
        <is>
          <t>Conforme Portal SIAPE</t>
        </is>
      </c>
    </row>
    <row r="112" ht="15.75" customHeight="1" s="42">
      <c r="B112" s="68" t="n">
        <v>2020</v>
      </c>
      <c r="C112" s="68" t="inlineStr">
        <is>
          <t>Jan</t>
        </is>
      </c>
      <c r="D112" s="69" t="inlineStr">
        <is>
          <t>Jan/2020</t>
        </is>
      </c>
      <c r="E112" s="69" t="n">
        <v>3503.99</v>
      </c>
      <c r="F112" s="69">
        <f>IF(E112="","",E112*1.6)</f>
        <v/>
      </c>
      <c r="G112" s="69" t="n">
        <v>0.01</v>
      </c>
      <c r="H112" s="69">
        <f>IF(E112="","",E112+F112+IF(G112="",0,G112))</f>
        <v/>
      </c>
      <c r="I112" s="69" t="n"/>
      <c r="J112" s="77">
        <f>IF(OR(H112="",I112=""),"",H112-I112)</f>
        <v/>
      </c>
      <c r="K112" s="69" t="inlineStr">
        <is>
          <t>Conforme Portal SIAPE</t>
        </is>
      </c>
    </row>
    <row r="113" ht="15.75" customHeight="1" s="42">
      <c r="B113" s="65" t="n">
        <v>2020</v>
      </c>
      <c r="C113" s="65" t="inlineStr">
        <is>
          <t>Fev</t>
        </is>
      </c>
      <c r="D113" s="66" t="inlineStr">
        <is>
          <t>Fev/2020</t>
        </is>
      </c>
      <c r="E113" s="66" t="n">
        <v>3503.99</v>
      </c>
      <c r="F113" s="66">
        <f>IF(E113="","",E113*1.6)</f>
        <v/>
      </c>
      <c r="G113" s="66" t="n">
        <v>0.01</v>
      </c>
      <c r="H113" s="66">
        <f>IF(E113="","",E113+F113+IF(G113="",0,G113))</f>
        <v/>
      </c>
      <c r="I113" s="66" t="n"/>
      <c r="J113" s="77">
        <f>IF(OR(H113="",I113=""),"",H113-I113)</f>
        <v/>
      </c>
      <c r="K113" s="66" t="inlineStr">
        <is>
          <t>Conforme Portal SIAPE</t>
        </is>
      </c>
    </row>
    <row r="114" ht="15.75" customHeight="1" s="42">
      <c r="B114" s="68" t="n">
        <v>2020</v>
      </c>
      <c r="C114" s="68" t="inlineStr">
        <is>
          <t>Mar</t>
        </is>
      </c>
      <c r="D114" s="69" t="inlineStr">
        <is>
          <t>Mar/2020</t>
        </is>
      </c>
      <c r="E114" s="69" t="n">
        <v>3503.99</v>
      </c>
      <c r="F114" s="69">
        <f>IF(E114="","",E114*1.6)</f>
        <v/>
      </c>
      <c r="G114" s="69" t="n">
        <v>0.01</v>
      </c>
      <c r="H114" s="69">
        <f>IF(E114="","",E114+F114+IF(G114="",0,G114))</f>
        <v/>
      </c>
      <c r="I114" s="69" t="n"/>
      <c r="J114" s="77">
        <f>IF(OR(H114="",I114=""),"",H114-I114)</f>
        <v/>
      </c>
      <c r="K114" s="69" t="inlineStr">
        <is>
          <t>Conforme Portal SIAPE</t>
        </is>
      </c>
    </row>
    <row r="115" ht="15.75" customHeight="1" s="42">
      <c r="B115" s="65" t="n">
        <v>2020</v>
      </c>
      <c r="C115" s="65" t="inlineStr">
        <is>
          <t>Abr</t>
        </is>
      </c>
      <c r="D115" s="66" t="inlineStr">
        <is>
          <t>Abr/2020</t>
        </is>
      </c>
      <c r="E115" s="66" t="n">
        <v>3503.99</v>
      </c>
      <c r="F115" s="66">
        <f>IF(E115="","",E115*1.6)</f>
        <v/>
      </c>
      <c r="G115" s="66" t="n">
        <v>0.01</v>
      </c>
      <c r="H115" s="66">
        <f>IF(E115="","",E115+F115+IF(G115="",0,G115))</f>
        <v/>
      </c>
      <c r="I115" s="66" t="n"/>
      <c r="J115" s="77">
        <f>IF(OR(H115="",I115=""),"",H115-I115)</f>
        <v/>
      </c>
      <c r="K115" s="66" t="inlineStr">
        <is>
          <t>Conforme Portal SIAPE</t>
        </is>
      </c>
    </row>
    <row r="116" ht="15.75" customHeight="1" s="42">
      <c r="B116" s="68" t="n">
        <v>2020</v>
      </c>
      <c r="C116" s="68" t="inlineStr">
        <is>
          <t>Mai</t>
        </is>
      </c>
      <c r="D116" s="69" t="inlineStr">
        <is>
          <t>Mai/2020</t>
        </is>
      </c>
      <c r="E116" s="69" t="n">
        <v>3503.99</v>
      </c>
      <c r="F116" s="69">
        <f>IF(E116="","",E116*1.6)</f>
        <v/>
      </c>
      <c r="G116" s="69" t="n">
        <v>0.01</v>
      </c>
      <c r="H116" s="69">
        <f>IF(E116="","",E116+F116+IF(G116="",0,G116))</f>
        <v/>
      </c>
      <c r="I116" s="69" t="n"/>
      <c r="J116" s="77">
        <f>IF(OR(H116="",I116=""),"",H116-I116)</f>
        <v/>
      </c>
      <c r="K116" s="69" t="inlineStr">
        <is>
          <t>Conforme Portal SIAPE</t>
        </is>
      </c>
    </row>
    <row r="117" ht="15.75" customHeight="1" s="42">
      <c r="B117" s="65" t="n">
        <v>2020</v>
      </c>
      <c r="C117" s="65" t="inlineStr">
        <is>
          <t>Jun</t>
        </is>
      </c>
      <c r="D117" s="66" t="inlineStr">
        <is>
          <t>Jun/2020</t>
        </is>
      </c>
      <c r="E117" s="66" t="n">
        <v>3503.99</v>
      </c>
      <c r="F117" s="66">
        <f>IF(E117="","",E117*1.6)</f>
        <v/>
      </c>
      <c r="G117" s="66" t="n">
        <v>0.01</v>
      </c>
      <c r="H117" s="66">
        <f>IF(E117="","",E117+F117+IF(G117="",0,G117))</f>
        <v/>
      </c>
      <c r="I117" s="66" t="n"/>
      <c r="J117" s="77">
        <f>IF(OR(H117="",I117=""),"",H117-I117)</f>
        <v/>
      </c>
      <c r="K117" s="66" t="inlineStr">
        <is>
          <t>Conforme Portal SIAPE</t>
        </is>
      </c>
    </row>
    <row r="118" ht="15.75" customHeight="1" s="42">
      <c r="B118" s="68" t="n">
        <v>2020</v>
      </c>
      <c r="C118" s="68" t="inlineStr">
        <is>
          <t>Jul</t>
        </is>
      </c>
      <c r="D118" s="69" t="inlineStr">
        <is>
          <t>Jul/2020</t>
        </is>
      </c>
      <c r="E118" s="69" t="n">
        <v>3503.99</v>
      </c>
      <c r="F118" s="69">
        <f>IF(E118="","",E118*1.6)</f>
        <v/>
      </c>
      <c r="G118" s="69" t="n">
        <v>0.01</v>
      </c>
      <c r="H118" s="69">
        <f>IF(E118="","",E118+F118+IF(G118="",0,G118))</f>
        <v/>
      </c>
      <c r="I118" s="69" t="n"/>
      <c r="J118" s="77">
        <f>IF(OR(H118="",I118=""),"",H118-I118)</f>
        <v/>
      </c>
      <c r="K118" s="69" t="inlineStr">
        <is>
          <t>Conforme Portal SIAPE</t>
        </is>
      </c>
    </row>
    <row r="119" ht="15.75" customHeight="1" s="42">
      <c r="B119" s="65" t="n">
        <v>2020</v>
      </c>
      <c r="C119" s="65" t="inlineStr">
        <is>
          <t>Ago</t>
        </is>
      </c>
      <c r="D119" s="66" t="inlineStr">
        <is>
          <t>Ago/2020</t>
        </is>
      </c>
      <c r="E119" s="66" t="n">
        <v>3503.99</v>
      </c>
      <c r="F119" s="66">
        <f>IF(E119="","",E119*1.6)</f>
        <v/>
      </c>
      <c r="G119" s="66" t="n">
        <v>0.01</v>
      </c>
      <c r="H119" s="66">
        <f>IF(E119="","",E119+F119+IF(G119="",0,G119))</f>
        <v/>
      </c>
      <c r="I119" s="66" t="n"/>
      <c r="J119" s="77">
        <f>IF(OR(H119="",I119=""),"",H119-I119)</f>
        <v/>
      </c>
      <c r="K119" s="66" t="inlineStr">
        <is>
          <t>Conforme Portal SIAPE</t>
        </is>
      </c>
    </row>
    <row r="120" ht="15.75" customHeight="1" s="42">
      <c r="B120" s="68" t="n">
        <v>2020</v>
      </c>
      <c r="C120" s="68" t="inlineStr">
        <is>
          <t>Set</t>
        </is>
      </c>
      <c r="D120" s="69" t="inlineStr">
        <is>
          <t>Set/2020</t>
        </is>
      </c>
      <c r="E120" s="69" t="n">
        <v>3589.04</v>
      </c>
      <c r="F120" s="69">
        <f>IF(E120="","",E120*1.6)</f>
        <v/>
      </c>
      <c r="G120" s="69" t="n">
        <v>0.01</v>
      </c>
      <c r="H120" s="69">
        <f>IF(E120="","",E120+F120+IF(G120="",0,G120))</f>
        <v/>
      </c>
      <c r="I120" s="69" t="n"/>
      <c r="J120" s="77">
        <f>IF(OR(H120="",I120=""),"",H120-I120)</f>
        <v/>
      </c>
      <c r="K120" s="69" t="inlineStr">
        <is>
          <t>Conforme Portal SIAPE</t>
        </is>
      </c>
    </row>
    <row r="121" ht="15.75" customHeight="1" s="42">
      <c r="B121" s="65" t="n">
        <v>2020</v>
      </c>
      <c r="C121" s="65" t="inlineStr">
        <is>
          <t>Out</t>
        </is>
      </c>
      <c r="D121" s="66" t="inlineStr">
        <is>
          <t>Out/2020</t>
        </is>
      </c>
      <c r="E121" s="66" t="n">
        <v>3589.04</v>
      </c>
      <c r="F121" s="66">
        <f>IF(E121="","",E121*1.6)</f>
        <v/>
      </c>
      <c r="G121" s="66" t="n">
        <v>0.01</v>
      </c>
      <c r="H121" s="66">
        <f>IF(E121="","",E121+F121+IF(G121="",0,G121))</f>
        <v/>
      </c>
      <c r="I121" s="66" t="n"/>
      <c r="J121" s="77">
        <f>IF(OR(H121="",I121=""),"",H121-I121)</f>
        <v/>
      </c>
      <c r="K121" s="66" t="inlineStr">
        <is>
          <t>Conforme Portal SIAPE</t>
        </is>
      </c>
    </row>
    <row r="122" ht="15.75" customHeight="1" s="42">
      <c r="B122" s="68" t="n">
        <v>2020</v>
      </c>
      <c r="C122" s="68" t="inlineStr">
        <is>
          <t>Nov</t>
        </is>
      </c>
      <c r="D122" s="69" t="inlineStr">
        <is>
          <t>Nov/2020</t>
        </is>
      </c>
      <c r="E122" s="69" t="n">
        <v>3589.04</v>
      </c>
      <c r="F122" s="69">
        <f>IF(E122="","",E122*1.6)</f>
        <v/>
      </c>
      <c r="G122" s="69" t="n">
        <v>0.01</v>
      </c>
      <c r="H122" s="69">
        <f>IF(E122="","",E122+F122+IF(G122="",0,G122))</f>
        <v/>
      </c>
      <c r="I122" s="69" t="n"/>
      <c r="J122" s="77">
        <f>IF(OR(H122="",I122=""),"",H122-I122)</f>
        <v/>
      </c>
      <c r="K122" s="69" t="inlineStr">
        <is>
          <t>Conforme Portal SIAPE</t>
        </is>
      </c>
    </row>
    <row r="123" ht="15.75" customHeight="1" s="42">
      <c r="B123" s="65" t="n">
        <v>2020</v>
      </c>
      <c r="C123" s="65" t="inlineStr">
        <is>
          <t>Dez</t>
        </is>
      </c>
      <c r="D123" s="66" t="inlineStr">
        <is>
          <t>Dez/2020</t>
        </is>
      </c>
      <c r="E123" s="66" t="n">
        <v>3589.04</v>
      </c>
      <c r="F123" s="66">
        <f>IF(E123="","",E123*1.6)</f>
        <v/>
      </c>
      <c r="G123" s="66" t="n">
        <v>0.01</v>
      </c>
      <c r="H123" s="66">
        <f>IF(E123="","",E123+F123+IF(G123="",0,G123))</f>
        <v/>
      </c>
      <c r="I123" s="66" t="n"/>
      <c r="J123" s="77">
        <f>IF(OR(H123="",I123=""),"",H123-I123)</f>
        <v/>
      </c>
      <c r="K123" s="66" t="inlineStr">
        <is>
          <t>Conforme Portal SIAPE</t>
        </is>
      </c>
    </row>
    <row r="124" ht="15.75" customHeight="1" s="42">
      <c r="B124" s="68" t="n">
        <v>2021</v>
      </c>
      <c r="C124" s="68" t="inlineStr">
        <is>
          <t>Jan</t>
        </is>
      </c>
      <c r="D124" s="69" t="inlineStr">
        <is>
          <t>Jan/2021</t>
        </is>
      </c>
      <c r="E124" s="69" t="n">
        <v>3589.04</v>
      </c>
      <c r="F124" s="69">
        <f>IF(E124="","",E124*1.6)</f>
        <v/>
      </c>
      <c r="G124" s="69" t="n">
        <v>0.01</v>
      </c>
      <c r="H124" s="69">
        <f>IF(E124="","",E124+F124+IF(G124="",0,G124))</f>
        <v/>
      </c>
      <c r="I124" s="69" t="n"/>
      <c r="J124" s="77">
        <f>IF(OR(H124="",I124=""),"",H124-I124)</f>
        <v/>
      </c>
      <c r="K124" s="69" t="inlineStr">
        <is>
          <t>Conforme Portal SIAPE</t>
        </is>
      </c>
    </row>
    <row r="125" ht="15.75" customHeight="1" s="42">
      <c r="B125" s="65" t="n">
        <v>2021</v>
      </c>
      <c r="C125" s="65" t="inlineStr">
        <is>
          <t>Fev</t>
        </is>
      </c>
      <c r="D125" s="66" t="inlineStr">
        <is>
          <t>Fev/2021</t>
        </is>
      </c>
      <c r="E125" s="66" t="n">
        <v>3589.04</v>
      </c>
      <c r="F125" s="66">
        <f>IF(E125="","",E125*1.6)</f>
        <v/>
      </c>
      <c r="G125" s="66" t="n">
        <v>0.01</v>
      </c>
      <c r="H125" s="66">
        <f>IF(E125="","",E125+F125+IF(G125="",0,G125))</f>
        <v/>
      </c>
      <c r="I125" s="66" t="n"/>
      <c r="J125" s="77">
        <f>IF(OR(H125="",I125=""),"",H125-I125)</f>
        <v/>
      </c>
      <c r="K125" s="66" t="inlineStr">
        <is>
          <t>Conforme Portal SIAPE</t>
        </is>
      </c>
    </row>
    <row r="126" ht="15.75" customHeight="1" s="42">
      <c r="B126" s="68" t="n">
        <v>2021</v>
      </c>
      <c r="C126" s="68" t="inlineStr">
        <is>
          <t>Mar</t>
        </is>
      </c>
      <c r="D126" s="69" t="inlineStr">
        <is>
          <t>Mar/2021</t>
        </is>
      </c>
      <c r="E126" s="69" t="n">
        <v>3589.04</v>
      </c>
      <c r="F126" s="69">
        <f>IF(E126="","",E126*1.6)</f>
        <v/>
      </c>
      <c r="G126" s="69" t="n">
        <v>0.01</v>
      </c>
      <c r="H126" s="69">
        <f>IF(E126="","",E126+F126+IF(G126="",0,G126))</f>
        <v/>
      </c>
      <c r="I126" s="69" t="n"/>
      <c r="J126" s="77">
        <f>IF(OR(H126="",I126=""),"",H126-I126)</f>
        <v/>
      </c>
      <c r="K126" s="69" t="inlineStr">
        <is>
          <t>Conforme Portal SIAPE</t>
        </is>
      </c>
    </row>
    <row r="127" ht="15.75" customHeight="1" s="42">
      <c r="B127" s="65" t="n">
        <v>2021</v>
      </c>
      <c r="C127" s="65" t="inlineStr">
        <is>
          <t>Abr</t>
        </is>
      </c>
      <c r="D127" s="66" t="inlineStr">
        <is>
          <t>Abr/2021</t>
        </is>
      </c>
      <c r="E127" s="66" t="n">
        <v>3589.04</v>
      </c>
      <c r="F127" s="66">
        <f>IF(E127="","",E127*1.6)</f>
        <v/>
      </c>
      <c r="G127" s="66" t="n">
        <v>0.01</v>
      </c>
      <c r="H127" s="66">
        <f>IF(E127="","",E127+F127+IF(G127="",0,G127))</f>
        <v/>
      </c>
      <c r="I127" s="66" t="n"/>
      <c r="J127" s="77">
        <f>IF(OR(H127="",I127=""),"",H127-I127)</f>
        <v/>
      </c>
      <c r="K127" s="66" t="inlineStr">
        <is>
          <t>Conforme Portal SIAPE</t>
        </is>
      </c>
    </row>
    <row r="128" ht="15.75" customHeight="1" s="42">
      <c r="B128" s="68" t="n">
        <v>2021</v>
      </c>
      <c r="C128" s="68" t="inlineStr">
        <is>
          <t>Mai</t>
        </is>
      </c>
      <c r="D128" s="69" t="inlineStr">
        <is>
          <t>Mai/2021</t>
        </is>
      </c>
      <c r="E128" s="69" t="n">
        <v>3589.04</v>
      </c>
      <c r="F128" s="69">
        <f>IF(E128="","",E128*1.6)</f>
        <v/>
      </c>
      <c r="G128" s="69" t="n">
        <v>0.01</v>
      </c>
      <c r="H128" s="69">
        <f>IF(E128="","",E128+F128+IF(G128="",0,G128))</f>
        <v/>
      </c>
      <c r="I128" s="69" t="n"/>
      <c r="J128" s="77">
        <f>IF(OR(H128="",I128=""),"",H128-I128)</f>
        <v/>
      </c>
      <c r="K128" s="69" t="inlineStr">
        <is>
          <t>Conforme Portal SIAPE</t>
        </is>
      </c>
    </row>
    <row r="129" ht="15.75" customHeight="1" s="42">
      <c r="B129" s="65" t="n">
        <v>2021</v>
      </c>
      <c r="C129" s="65" t="inlineStr">
        <is>
          <t>Jun</t>
        </is>
      </c>
      <c r="D129" s="66" t="inlineStr">
        <is>
          <t>Jun/2021</t>
        </is>
      </c>
      <c r="E129" s="66" t="n">
        <v>3589.04</v>
      </c>
      <c r="F129" s="66">
        <f>IF(E129="","",E129*1.6)</f>
        <v/>
      </c>
      <c r="G129" s="66" t="n">
        <v>0.01</v>
      </c>
      <c r="H129" s="66">
        <f>IF(E129="","",E129+F129+IF(G129="",0,G129))</f>
        <v/>
      </c>
      <c r="I129" s="66" t="n"/>
      <c r="J129" s="77">
        <f>IF(OR(H129="",I129=""),"",H129-I129)</f>
        <v/>
      </c>
      <c r="K129" s="66" t="inlineStr">
        <is>
          <t>Conforme Portal SIAPE</t>
        </is>
      </c>
    </row>
    <row r="130" ht="15.75" customHeight="1" s="42">
      <c r="B130" s="68" t="n">
        <v>2021</v>
      </c>
      <c r="C130" s="68" t="inlineStr">
        <is>
          <t>Jul</t>
        </is>
      </c>
      <c r="D130" s="69" t="inlineStr">
        <is>
          <t>Jul/2021</t>
        </is>
      </c>
      <c r="E130" s="69" t="n">
        <v>3589.04</v>
      </c>
      <c r="F130" s="69">
        <f>IF(E130="","",E130*1.6)</f>
        <v/>
      </c>
      <c r="G130" s="69" t="n">
        <v>0.01</v>
      </c>
      <c r="H130" s="69">
        <f>IF(E130="","",E130+F130+IF(G130="",0,G130))</f>
        <v/>
      </c>
      <c r="I130" s="69" t="n"/>
      <c r="J130" s="77">
        <f>IF(OR(H130="",I130=""),"",H130-I130)</f>
        <v/>
      </c>
      <c r="K130" s="69" t="inlineStr">
        <is>
          <t>Conforme Portal SIAPE</t>
        </is>
      </c>
    </row>
    <row r="131" ht="15.75" customHeight="1" s="42">
      <c r="B131" s="65" t="n">
        <v>2021</v>
      </c>
      <c r="C131" s="65" t="inlineStr">
        <is>
          <t>Ago</t>
        </is>
      </c>
      <c r="D131" s="66" t="inlineStr">
        <is>
          <t>Ago/2021</t>
        </is>
      </c>
      <c r="E131" s="66" t="n">
        <v>3589.04</v>
      </c>
      <c r="F131" s="66">
        <f>IF(E131="","",E131*1.6)</f>
        <v/>
      </c>
      <c r="G131" s="66" t="n">
        <v>0.01</v>
      </c>
      <c r="H131" s="66">
        <f>IF(E131="","",E131+F131+IF(G131="",0,G131))</f>
        <v/>
      </c>
      <c r="I131" s="66" t="n"/>
      <c r="J131" s="77">
        <f>IF(OR(H131="",I131=""),"",H131-I131)</f>
        <v/>
      </c>
      <c r="K131" s="66" t="inlineStr">
        <is>
          <t>Conforme Portal SIAPE</t>
        </is>
      </c>
    </row>
    <row r="132" ht="15.75" customHeight="1" s="42">
      <c r="B132" s="68" t="n">
        <v>2021</v>
      </c>
      <c r="C132" s="68" t="inlineStr">
        <is>
          <t>Set</t>
        </is>
      </c>
      <c r="D132" s="69" t="inlineStr">
        <is>
          <t>Set/2021</t>
        </is>
      </c>
      <c r="E132" s="69" t="n">
        <v>3677.18</v>
      </c>
      <c r="F132" s="69">
        <f>IF(E132="","",E132*1.6)</f>
        <v/>
      </c>
      <c r="G132" s="69" t="n">
        <v>-0.01</v>
      </c>
      <c r="H132" s="69">
        <f>IF(E132="","",E132+F132+IF(G132="",0,G132))</f>
        <v/>
      </c>
      <c r="I132" s="69" t="n"/>
      <c r="J132" s="77">
        <f>IF(OR(H132="",I132=""),"",H132-I132)</f>
        <v/>
      </c>
      <c r="K132" s="69" t="inlineStr">
        <is>
          <t>Conforme Portal SIAPE</t>
        </is>
      </c>
    </row>
    <row r="133" ht="15.75" customHeight="1" s="42">
      <c r="B133" s="65" t="n">
        <v>2021</v>
      </c>
      <c r="C133" s="65" t="inlineStr">
        <is>
          <t>Out</t>
        </is>
      </c>
      <c r="D133" s="66" t="inlineStr">
        <is>
          <t>Out/2021</t>
        </is>
      </c>
      <c r="E133" s="66" t="n">
        <v>3677.18</v>
      </c>
      <c r="F133" s="66">
        <f>IF(E133="","",E133*1.6)</f>
        <v/>
      </c>
      <c r="G133" s="66" t="n">
        <v>-0.01</v>
      </c>
      <c r="H133" s="66">
        <f>IF(E133="","",E133+F133+IF(G133="",0,G133))</f>
        <v/>
      </c>
      <c r="I133" s="66" t="n"/>
      <c r="J133" s="77">
        <f>IF(OR(H133="",I133=""),"",H133-I133)</f>
        <v/>
      </c>
      <c r="K133" s="66" t="inlineStr">
        <is>
          <t>Conforme Portal SIAPE</t>
        </is>
      </c>
    </row>
    <row r="134" ht="15.75" customHeight="1" s="42">
      <c r="B134" s="68" t="n">
        <v>2021</v>
      </c>
      <c r="C134" s="68" t="inlineStr">
        <is>
          <t>Nov</t>
        </is>
      </c>
      <c r="D134" s="69" t="inlineStr">
        <is>
          <t>Nov/2021</t>
        </is>
      </c>
      <c r="E134" s="69" t="n">
        <v>3677.18</v>
      </c>
      <c r="F134" s="69">
        <f>IF(E134="","",E134*1.6)</f>
        <v/>
      </c>
      <c r="G134" s="69" t="n">
        <v>-0.01</v>
      </c>
      <c r="H134" s="69">
        <f>IF(E134="","",E134+F134+IF(G134="",0,G134))</f>
        <v/>
      </c>
      <c r="I134" s="69" t="n"/>
      <c r="J134" s="77">
        <f>IF(OR(H134="",I134=""),"",H134-I134)</f>
        <v/>
      </c>
      <c r="K134" s="69" t="inlineStr">
        <is>
          <t>Conforme Portal SIAPE</t>
        </is>
      </c>
    </row>
    <row r="135" ht="15.75" customHeight="1" s="42">
      <c r="B135" s="65" t="n">
        <v>2021</v>
      </c>
      <c r="C135" s="65" t="inlineStr">
        <is>
          <t>Dez</t>
        </is>
      </c>
      <c r="D135" s="66" t="inlineStr">
        <is>
          <t>Dez/2021</t>
        </is>
      </c>
      <c r="E135" s="66" t="n">
        <v>3677.18</v>
      </c>
      <c r="F135" s="66">
        <f>IF(E135="","",E135*1.6)</f>
        <v/>
      </c>
      <c r="G135" s="66" t="n">
        <v>-0.01</v>
      </c>
      <c r="H135" s="66">
        <f>IF(E135="","",E135+F135+IF(G135="",0,G135))</f>
        <v/>
      </c>
      <c r="I135" s="66" t="n"/>
      <c r="J135" s="77">
        <f>IF(OR(H135="",I135=""),"",H135-I135)</f>
        <v/>
      </c>
      <c r="K135" s="66" t="inlineStr">
        <is>
          <t>Conforme Portal SIAPE</t>
        </is>
      </c>
    </row>
    <row r="136" ht="15.75" customHeight="1" s="42">
      <c r="B136" s="68" t="n">
        <v>2022</v>
      </c>
      <c r="C136" s="68" t="inlineStr">
        <is>
          <t>Jan</t>
        </is>
      </c>
      <c r="D136" s="69" t="inlineStr">
        <is>
          <t>Jan/2022</t>
        </is>
      </c>
      <c r="E136" s="69" t="n">
        <v>3677.18</v>
      </c>
      <c r="F136" s="69">
        <f>IF(E136="","",E136*1.6)</f>
        <v/>
      </c>
      <c r="G136" s="69" t="n">
        <v>-0.01</v>
      </c>
      <c r="H136" s="69">
        <f>IF(E136="","",E136+F136+IF(G136="",0,G136))</f>
        <v/>
      </c>
      <c r="I136" s="69" t="n"/>
      <c r="J136" s="77">
        <f>IF(OR(H136="",I136=""),"",H136-I136)</f>
        <v/>
      </c>
      <c r="K136" s="69" t="inlineStr">
        <is>
          <t>Conforme Portal SIAPE</t>
        </is>
      </c>
    </row>
    <row r="137" ht="15.75" customHeight="1" s="42">
      <c r="B137" s="65" t="n">
        <v>2022</v>
      </c>
      <c r="C137" s="65" t="inlineStr">
        <is>
          <t>Fev</t>
        </is>
      </c>
      <c r="D137" s="66" t="inlineStr">
        <is>
          <t>Fev/2022</t>
        </is>
      </c>
      <c r="E137" s="66" t="n">
        <v>3677.18</v>
      </c>
      <c r="F137" s="66">
        <f>IF(E137="","",E137*1.6)</f>
        <v/>
      </c>
      <c r="G137" s="66" t="n">
        <v>-0.01</v>
      </c>
      <c r="H137" s="66">
        <f>IF(E137="","",E137+F137+IF(G137="",0,G137))</f>
        <v/>
      </c>
      <c r="I137" s="66" t="n"/>
      <c r="J137" s="77">
        <f>IF(OR(H137="",I137=""),"",H137-I137)</f>
        <v/>
      </c>
      <c r="K137" s="66" t="inlineStr">
        <is>
          <t>Conforme Portal SIAPE</t>
        </is>
      </c>
    </row>
    <row r="138" ht="15.75" customHeight="1" s="42">
      <c r="B138" s="68" t="n">
        <v>2022</v>
      </c>
      <c r="C138" s="68" t="inlineStr">
        <is>
          <t>Mar</t>
        </is>
      </c>
      <c r="D138" s="69" t="inlineStr">
        <is>
          <t>Mar/2022</t>
        </is>
      </c>
      <c r="E138" s="69" t="n">
        <v>3677.18</v>
      </c>
      <c r="F138" s="69">
        <f>IF(E138="","",E138*1.6)</f>
        <v/>
      </c>
      <c r="G138" s="69" t="n">
        <v>-0.01</v>
      </c>
      <c r="H138" s="69">
        <f>IF(E138="","",E138+F138+IF(G138="",0,G138))</f>
        <v/>
      </c>
      <c r="I138" s="69" t="n"/>
      <c r="J138" s="77">
        <f>IF(OR(H138="",I138=""),"",H138-I138)</f>
        <v/>
      </c>
      <c r="K138" s="69" t="inlineStr">
        <is>
          <t>Conforme Portal SIAPE</t>
        </is>
      </c>
    </row>
    <row r="139" ht="15.75" customHeight="1" s="42">
      <c r="B139" s="65" t="n">
        <v>2022</v>
      </c>
      <c r="C139" s="65" t="inlineStr">
        <is>
          <t>Abr</t>
        </is>
      </c>
      <c r="D139" s="66" t="inlineStr">
        <is>
          <t>Abr/2022</t>
        </is>
      </c>
      <c r="E139" s="66" t="n">
        <v>3677.17</v>
      </c>
      <c r="F139" s="66">
        <f>IF(E139="","",E139*1.6)</f>
        <v/>
      </c>
      <c r="G139" s="66" t="n">
        <v>0.01</v>
      </c>
      <c r="H139" s="66">
        <f>IF(E139="","",E139+F139+IF(G139="",0,G139))</f>
        <v/>
      </c>
      <c r="I139" s="66" t="n"/>
      <c r="J139" s="77">
        <f>IF(OR(H139="",I139=""),"",H139-I139)</f>
        <v/>
      </c>
      <c r="K139" s="66" t="inlineStr">
        <is>
          <t>Conforme Portal SIAPE</t>
        </is>
      </c>
    </row>
    <row r="140" ht="15.75" customHeight="1" s="42">
      <c r="B140" s="68" t="n">
        <v>2022</v>
      </c>
      <c r="C140" s="68" t="inlineStr">
        <is>
          <t>Mai</t>
        </is>
      </c>
      <c r="D140" s="69" t="inlineStr">
        <is>
          <t>Mai/2022</t>
        </is>
      </c>
      <c r="E140" s="69" t="n">
        <v>3677.17</v>
      </c>
      <c r="F140" s="69">
        <f>IF(E140="","",E140*1.6)</f>
        <v/>
      </c>
      <c r="G140" s="69" t="n">
        <v>0.01</v>
      </c>
      <c r="H140" s="69">
        <f>IF(E140="","",E140+F140+IF(G140="",0,G140))</f>
        <v/>
      </c>
      <c r="I140" s="69" t="n"/>
      <c r="J140" s="77">
        <f>IF(OR(H140="",I140=""),"",H140-I140)</f>
        <v/>
      </c>
      <c r="K140" s="69" t="inlineStr">
        <is>
          <t>Conforme Portal SIAPE</t>
        </is>
      </c>
    </row>
    <row r="141" ht="15.75" customHeight="1" s="42">
      <c r="B141" s="65" t="n">
        <v>2022</v>
      </c>
      <c r="C141" s="65" t="inlineStr">
        <is>
          <t>Jun</t>
        </is>
      </c>
      <c r="D141" s="66" t="inlineStr">
        <is>
          <t>Jun/2022</t>
        </is>
      </c>
      <c r="E141" s="66" t="n">
        <v>3677.17</v>
      </c>
      <c r="F141" s="66">
        <f>IF(E141="","",E141*1.6)</f>
        <v/>
      </c>
      <c r="G141" s="66" t="n">
        <v>0.01</v>
      </c>
      <c r="H141" s="66">
        <f>IF(E141="","",E141+F141+IF(G141="",0,G141))</f>
        <v/>
      </c>
      <c r="I141" s="66" t="n"/>
      <c r="J141" s="77">
        <f>IF(OR(H141="",I141=""),"",H141-I141)</f>
        <v/>
      </c>
      <c r="K141" s="66" t="inlineStr">
        <is>
          <t>Conforme Portal SIAPE</t>
        </is>
      </c>
    </row>
    <row r="142" ht="15.75" customHeight="1" s="42">
      <c r="B142" s="68" t="n">
        <v>2022</v>
      </c>
      <c r="C142" s="68" t="inlineStr">
        <is>
          <t>Jul</t>
        </is>
      </c>
      <c r="D142" s="69" t="inlineStr">
        <is>
          <t>Jul/2022</t>
        </is>
      </c>
      <c r="E142" s="69" t="n">
        <v>3677.17</v>
      </c>
      <c r="F142" s="69">
        <f>IF(E142="","",E142*1.6)</f>
        <v/>
      </c>
      <c r="G142" s="69" t="n">
        <v>0.01</v>
      </c>
      <c r="H142" s="69">
        <f>IF(E142="","",E142+F142+IF(G142="",0,G142))</f>
        <v/>
      </c>
      <c r="I142" s="69" t="n"/>
      <c r="J142" s="77">
        <f>IF(OR(H142="",I142=""),"",H142-I142)</f>
        <v/>
      </c>
      <c r="K142" s="69" t="inlineStr">
        <is>
          <t>Conforme Portal SIAPE</t>
        </is>
      </c>
    </row>
    <row r="143" ht="15.75" customHeight="1" s="42">
      <c r="B143" s="65" t="n">
        <v>2022</v>
      </c>
      <c r="C143" s="65" t="inlineStr">
        <is>
          <t>Ago</t>
        </is>
      </c>
      <c r="D143" s="66" t="inlineStr">
        <is>
          <t>Ago/2022</t>
        </is>
      </c>
      <c r="E143" s="66" t="n">
        <v>3677.17</v>
      </c>
      <c r="F143" s="66">
        <f>IF(E143="","",E143*1.6)</f>
        <v/>
      </c>
      <c r="G143" s="66" t="n">
        <v>0.01</v>
      </c>
      <c r="H143" s="66">
        <f>IF(E143="","",E143+F143+IF(G143="",0,G143))</f>
        <v/>
      </c>
      <c r="I143" s="66" t="n"/>
      <c r="J143" s="77">
        <f>IF(OR(H143="",I143=""),"",H143-I143)</f>
        <v/>
      </c>
      <c r="K143" s="66" t="inlineStr">
        <is>
          <t>Conforme Portal SIAPE</t>
        </is>
      </c>
    </row>
    <row r="144" ht="15.75" customHeight="1" s="42">
      <c r="B144" s="68" t="n">
        <v>2022</v>
      </c>
      <c r="C144" s="68" t="inlineStr">
        <is>
          <t>Set</t>
        </is>
      </c>
      <c r="D144" s="69" t="inlineStr">
        <is>
          <t>Set/2022</t>
        </is>
      </c>
      <c r="E144" s="69" t="n">
        <v>3800.43</v>
      </c>
      <c r="F144" s="69">
        <f>IF(E144="","",E144*1.6)</f>
        <v/>
      </c>
      <c r="G144" s="69" t="n">
        <v>0.01</v>
      </c>
      <c r="H144" s="69">
        <f>IF(E144="","",E144+F144+IF(G144="",0,G144))</f>
        <v/>
      </c>
      <c r="I144" s="69" t="n"/>
      <c r="J144" s="77">
        <f>IF(OR(H144="",I144=""),"",H144-I144)</f>
        <v/>
      </c>
      <c r="K144" s="69" t="inlineStr">
        <is>
          <t>Conforme Portal SIAPE</t>
        </is>
      </c>
    </row>
    <row r="145" ht="15.75" customHeight="1" s="42">
      <c r="B145" s="65" t="n">
        <v>2022</v>
      </c>
      <c r="C145" s="65" t="inlineStr">
        <is>
          <t>Out</t>
        </is>
      </c>
      <c r="D145" s="66" t="inlineStr">
        <is>
          <t>Out/2022</t>
        </is>
      </c>
      <c r="E145" s="66" t="n">
        <v>3800.43</v>
      </c>
      <c r="F145" s="66">
        <f>IF(E145="","",E145*1.6)</f>
        <v/>
      </c>
      <c r="G145" s="66" t="n">
        <v>0.01</v>
      </c>
      <c r="H145" s="66">
        <f>IF(E145="","",E145+F145+IF(G145="",0,G145))</f>
        <v/>
      </c>
      <c r="I145" s="66" t="n"/>
      <c r="J145" s="77">
        <f>IF(OR(H145="",I145=""),"",H145-I145)</f>
        <v/>
      </c>
      <c r="K145" s="66" t="inlineStr">
        <is>
          <t>Conforme Portal SIAPE</t>
        </is>
      </c>
    </row>
    <row r="146" ht="15.75" customHeight="1" s="42">
      <c r="B146" s="68" t="n">
        <v>2022</v>
      </c>
      <c r="C146" s="68" t="inlineStr">
        <is>
          <t>Nov</t>
        </is>
      </c>
      <c r="D146" s="69" t="inlineStr">
        <is>
          <t>Nov/2022</t>
        </is>
      </c>
      <c r="E146" s="69" t="n">
        <v>3800.43</v>
      </c>
      <c r="F146" s="69">
        <f>IF(E146="","",E146*1.6)</f>
        <v/>
      </c>
      <c r="G146" s="69" t="n">
        <v>0.01</v>
      </c>
      <c r="H146" s="69">
        <f>IF(E146="","",E146+F146+IF(G146="",0,G146))</f>
        <v/>
      </c>
      <c r="I146" s="69" t="n"/>
      <c r="J146" s="77">
        <f>IF(OR(H146="",I146=""),"",H146-I146)</f>
        <v/>
      </c>
      <c r="K146" s="69" t="inlineStr">
        <is>
          <t>Conforme Portal SIAPE</t>
        </is>
      </c>
    </row>
    <row r="147" ht="15.75" customHeight="1" s="42">
      <c r="B147" s="65" t="n">
        <v>2022</v>
      </c>
      <c r="C147" s="65" t="inlineStr">
        <is>
          <t>Dez</t>
        </is>
      </c>
      <c r="D147" s="66" t="inlineStr">
        <is>
          <t>Dez/2022</t>
        </is>
      </c>
      <c r="E147" s="66" t="n">
        <v>3800.43</v>
      </c>
      <c r="F147" s="66">
        <f>IF(E147="","",E147*1.6)</f>
        <v/>
      </c>
      <c r="G147" s="66" t="n">
        <v>0.01</v>
      </c>
      <c r="H147" s="66">
        <f>IF(E147="","",E147+F147+IF(G147="",0,G147))</f>
        <v/>
      </c>
      <c r="I147" s="66" t="n"/>
      <c r="J147" s="77">
        <f>IF(OR(H147="",I147=""),"",H147-I147)</f>
        <v/>
      </c>
      <c r="K147" s="66" t="inlineStr">
        <is>
          <t>Conforme Portal SIAPE</t>
        </is>
      </c>
    </row>
    <row r="148" ht="15.75" customHeight="1" s="42">
      <c r="B148" s="68" t="n">
        <v>2023</v>
      </c>
      <c r="C148" s="68" t="inlineStr">
        <is>
          <t>Jan</t>
        </is>
      </c>
      <c r="D148" s="69" t="inlineStr">
        <is>
          <t>Jan/2023</t>
        </is>
      </c>
      <c r="E148" s="69" t="n">
        <v>3800.43</v>
      </c>
      <c r="F148" s="69">
        <f>IF(E148="","",E148*1.6)</f>
        <v/>
      </c>
      <c r="G148" s="69" t="n">
        <v>0.01</v>
      </c>
      <c r="H148" s="69">
        <f>IF(E148="","",E148+F148+IF(G148="",0,G148))</f>
        <v/>
      </c>
      <c r="I148" s="69" t="n"/>
      <c r="J148" s="77">
        <f>IF(OR(H148="",I148=""),"",H148-I148)</f>
        <v/>
      </c>
      <c r="K148" s="69" t="inlineStr">
        <is>
          <t>Conforme Portal SIAPE</t>
        </is>
      </c>
    </row>
    <row r="149" ht="15.75" customHeight="1" s="42">
      <c r="B149" s="65" t="n">
        <v>2023</v>
      </c>
      <c r="C149" s="65" t="inlineStr">
        <is>
          <t>Fev</t>
        </is>
      </c>
      <c r="D149" s="66" t="inlineStr">
        <is>
          <t>Fev/2023</t>
        </is>
      </c>
      <c r="E149" s="66" t="n">
        <v>3800.43</v>
      </c>
      <c r="F149" s="66">
        <f>IF(E149="","",E149*1.6)</f>
        <v/>
      </c>
      <c r="G149" s="66" t="n">
        <v>0.01</v>
      </c>
      <c r="H149" s="66">
        <f>IF(E149="","",E149+F149+IF(G149="",0,G149))</f>
        <v/>
      </c>
      <c r="I149" s="66" t="n"/>
      <c r="J149" s="77">
        <f>IF(OR(H149="",I149=""),"",H149-I149)</f>
        <v/>
      </c>
      <c r="K149" s="66" t="inlineStr">
        <is>
          <t>Conforme Portal SIAPE</t>
        </is>
      </c>
    </row>
    <row r="150" ht="15.75" customHeight="1" s="42">
      <c r="B150" s="68" t="n">
        <v>2023</v>
      </c>
      <c r="C150" s="68" t="inlineStr">
        <is>
          <t>Mar</t>
        </is>
      </c>
      <c r="D150" s="69" t="inlineStr">
        <is>
          <t>Mar/2023</t>
        </is>
      </c>
      <c r="E150" s="69" t="n">
        <v>3800.43</v>
      </c>
      <c r="F150" s="69">
        <f>IF(E150="","",E150*1.6)</f>
        <v/>
      </c>
      <c r="G150" s="69" t="n">
        <v>0.01</v>
      </c>
      <c r="H150" s="69">
        <f>IF(E150="","",E150+F150+IF(G150="",0,G150))</f>
        <v/>
      </c>
      <c r="I150" s="69" t="n"/>
      <c r="J150" s="77">
        <f>IF(OR(H150="",I150=""),"",H150-I150)</f>
        <v/>
      </c>
      <c r="K150" s="69" t="inlineStr">
        <is>
          <t>Conforme Portal SIAPE</t>
        </is>
      </c>
    </row>
    <row r="151" ht="15.75" customHeight="1" s="42">
      <c r="B151" s="65" t="n">
        <v>2023</v>
      </c>
      <c r="C151" s="65" t="inlineStr">
        <is>
          <t>Abr</t>
        </is>
      </c>
      <c r="D151" s="66" t="inlineStr">
        <is>
          <t>Abr/2023</t>
        </is>
      </c>
      <c r="E151" s="66" t="n">
        <v>3800.43</v>
      </c>
      <c r="F151" s="66">
        <f>IF(E151="","",E151*1.6)</f>
        <v/>
      </c>
      <c r="G151" s="66" t="n">
        <v>0.01</v>
      </c>
      <c r="H151" s="66">
        <f>IF(E151="","",E151+F151+IF(G151="",0,G151))</f>
        <v/>
      </c>
      <c r="I151" s="66" t="n"/>
      <c r="J151" s="77">
        <f>IF(OR(H151="",I151=""),"",H151-I151)</f>
        <v/>
      </c>
      <c r="K151" s="66" t="inlineStr">
        <is>
          <t>Conforme Portal SIAPE</t>
        </is>
      </c>
    </row>
    <row r="152" ht="15.75" customHeight="1" s="42">
      <c r="B152" s="68" t="n">
        <v>2023</v>
      </c>
      <c r="C152" s="68" t="inlineStr">
        <is>
          <t>Mai</t>
        </is>
      </c>
      <c r="D152" s="69" t="inlineStr">
        <is>
          <t>Mai/2023</t>
        </is>
      </c>
      <c r="E152" s="69" t="n">
        <v>4142.3</v>
      </c>
      <c r="F152" s="69">
        <f>IF(E152="","",E152*1.6)</f>
        <v/>
      </c>
      <c r="G152" s="69" t="n">
        <v>-0</v>
      </c>
      <c r="H152" s="69">
        <f>IF(E152="","",E152+F152+IF(G152="",0,G152))</f>
        <v/>
      </c>
      <c r="I152" s="69" t="n"/>
      <c r="J152" s="77">
        <f>IF(OR(H152="",I152=""),"",H152-I152)</f>
        <v/>
      </c>
      <c r="K152" s="69" t="inlineStr">
        <is>
          <t>Conforme Portal SIAPE</t>
        </is>
      </c>
    </row>
    <row r="153" ht="15.75" customHeight="1" s="42">
      <c r="B153" s="65" t="n">
        <v>2023</v>
      </c>
      <c r="C153" s="65" t="inlineStr">
        <is>
          <t>Jun</t>
        </is>
      </c>
      <c r="D153" s="66" t="inlineStr">
        <is>
          <t>Jun/2023</t>
        </is>
      </c>
      <c r="E153" s="66" t="n">
        <v>4142.3</v>
      </c>
      <c r="F153" s="66">
        <f>IF(E153="","",E153*1.6)</f>
        <v/>
      </c>
      <c r="G153" s="66" t="n">
        <v>-0</v>
      </c>
      <c r="H153" s="66">
        <f>IF(E153="","",E153+F153+IF(G153="",0,G153))</f>
        <v/>
      </c>
      <c r="I153" s="66" t="n"/>
      <c r="J153" s="77">
        <f>IF(OR(H153="",I153=""),"",H153-I153)</f>
        <v/>
      </c>
      <c r="K153" s="66" t="inlineStr">
        <is>
          <t>Conforme Portal SIAPE</t>
        </is>
      </c>
    </row>
    <row r="154" ht="15.75" customHeight="1" s="42">
      <c r="B154" s="68" t="n">
        <v>2023</v>
      </c>
      <c r="C154" s="68" t="inlineStr">
        <is>
          <t>Jul</t>
        </is>
      </c>
      <c r="D154" s="69" t="inlineStr">
        <is>
          <t>Jul/2023</t>
        </is>
      </c>
      <c r="E154" s="69" t="n">
        <v>4142.3</v>
      </c>
      <c r="F154" s="69">
        <f>IF(E154="","",E154*1.6)</f>
        <v/>
      </c>
      <c r="G154" s="69" t="n">
        <v>-0</v>
      </c>
      <c r="H154" s="69">
        <f>IF(E154="","",E154+F154+IF(G154="",0,G154))</f>
        <v/>
      </c>
      <c r="I154" s="69" t="n"/>
      <c r="J154" s="77">
        <f>IF(OR(H154="",I154=""),"",H154-I154)</f>
        <v/>
      </c>
      <c r="K154" s="69" t="inlineStr">
        <is>
          <t>Conforme Portal SIAPE</t>
        </is>
      </c>
    </row>
    <row r="155" ht="15.75" customHeight="1" s="42">
      <c r="B155" s="65" t="n">
        <v>2023</v>
      </c>
      <c r="C155" s="65" t="inlineStr">
        <is>
          <t>Ago</t>
        </is>
      </c>
      <c r="D155" s="66" t="inlineStr">
        <is>
          <t>Ago/2023</t>
        </is>
      </c>
      <c r="E155" s="66" t="n">
        <v>4142.3</v>
      </c>
      <c r="F155" s="66">
        <f>IF(E155="","",E155*1.6)</f>
        <v/>
      </c>
      <c r="G155" s="66" t="n">
        <v>-0</v>
      </c>
      <c r="H155" s="66">
        <f>IF(E155="","",E155+F155+IF(G155="",0,G155))</f>
        <v/>
      </c>
      <c r="I155" s="66" t="n"/>
      <c r="J155" s="77">
        <f>IF(OR(H155="",I155=""),"",H155-I155)</f>
        <v/>
      </c>
      <c r="K155" s="66" t="inlineStr">
        <is>
          <t>Conforme Portal SIAPE</t>
        </is>
      </c>
    </row>
    <row r="156" ht="15.75" customHeight="1" s="42">
      <c r="B156" s="68" t="n">
        <v>2023</v>
      </c>
      <c r="C156" s="68" t="inlineStr">
        <is>
          <t>Set</t>
        </is>
      </c>
      <c r="D156" s="69" t="inlineStr">
        <is>
          <t>Set/2023</t>
        </is>
      </c>
      <c r="E156" s="69" t="n">
        <v>4245.71</v>
      </c>
      <c r="F156" s="69">
        <f>IF(E156="","",E156*1.6)</f>
        <v/>
      </c>
      <c r="G156" s="69" t="n">
        <v>-0.01</v>
      </c>
      <c r="H156" s="69">
        <f>IF(E156="","",E156+F156+IF(G156="",0,G156))</f>
        <v/>
      </c>
      <c r="I156" s="69" t="n"/>
      <c r="J156" s="77">
        <f>IF(OR(H156="",I156=""),"",H156-I156)</f>
        <v/>
      </c>
      <c r="K156" s="69" t="inlineStr">
        <is>
          <t>Conforme Portal SIAPE</t>
        </is>
      </c>
    </row>
    <row r="157" ht="15.75" customHeight="1" s="42">
      <c r="B157" s="65" t="n">
        <v>2023</v>
      </c>
      <c r="C157" s="65" t="inlineStr">
        <is>
          <t>Out</t>
        </is>
      </c>
      <c r="D157" s="66" t="inlineStr">
        <is>
          <t>Out/2023</t>
        </is>
      </c>
      <c r="E157" s="66" t="n">
        <v>4245.71</v>
      </c>
      <c r="F157" s="66">
        <f>IF(E157="","",E157*1.6)</f>
        <v/>
      </c>
      <c r="G157" s="66" t="n">
        <v>-0.01</v>
      </c>
      <c r="H157" s="66">
        <f>IF(E157="","",E157+F157+IF(G157="",0,G157))</f>
        <v/>
      </c>
      <c r="I157" s="66" t="n"/>
      <c r="J157" s="77">
        <f>IF(OR(H157="",I157=""),"",H157-I157)</f>
        <v/>
      </c>
      <c r="K157" s="66" t="inlineStr">
        <is>
          <t>Conforme Portal SIAPE</t>
        </is>
      </c>
    </row>
    <row r="158" ht="15.75" customHeight="1" s="42">
      <c r="B158" s="68" t="n">
        <v>2023</v>
      </c>
      <c r="C158" s="68" t="inlineStr">
        <is>
          <t>Nov</t>
        </is>
      </c>
      <c r="D158" s="69" t="inlineStr">
        <is>
          <t>Nov/2023</t>
        </is>
      </c>
      <c r="E158" s="69" t="n">
        <v>4245.71</v>
      </c>
      <c r="F158" s="69">
        <f>IF(E158="","",E158*1.6)</f>
        <v/>
      </c>
      <c r="G158" s="69" t="n">
        <v>-0.01</v>
      </c>
      <c r="H158" s="69">
        <f>IF(E158="","",E158+F158+IF(G158="",0,G158))</f>
        <v/>
      </c>
      <c r="I158" s="69" t="n"/>
      <c r="J158" s="77">
        <f>IF(OR(H158="",I158=""),"",H158-I158)</f>
        <v/>
      </c>
      <c r="K158" s="69" t="inlineStr">
        <is>
          <t>Conforme Portal SIAPE</t>
        </is>
      </c>
    </row>
    <row r="159" ht="15.75" customHeight="1" s="42">
      <c r="B159" s="65" t="n">
        <v>2023</v>
      </c>
      <c r="C159" s="65" t="inlineStr">
        <is>
          <t>Dez</t>
        </is>
      </c>
      <c r="D159" s="66" t="inlineStr">
        <is>
          <t>Dez/2023</t>
        </is>
      </c>
      <c r="E159" s="66" t="n">
        <v>4245.71</v>
      </c>
      <c r="F159" s="66">
        <f>IF(E159="","",E159*1.6)</f>
        <v/>
      </c>
      <c r="G159" s="66" t="n">
        <v>-0.01</v>
      </c>
      <c r="H159" s="66">
        <f>IF(E159="","",E159+F159+IF(G159="",0,G159))</f>
        <v/>
      </c>
      <c r="I159" s="66" t="n"/>
      <c r="J159" s="77">
        <f>IF(OR(H159="",I159=""),"",H159-I159)</f>
        <v/>
      </c>
      <c r="K159" s="66" t="inlineStr">
        <is>
          <t>Conforme Portal SIAPE</t>
        </is>
      </c>
    </row>
    <row r="160" ht="15.75" customHeight="1" s="42">
      <c r="B160" s="68" t="n">
        <v>2024</v>
      </c>
      <c r="C160" s="68" t="inlineStr">
        <is>
          <t>Jan</t>
        </is>
      </c>
      <c r="D160" s="69" t="inlineStr">
        <is>
          <t>Jan/2024</t>
        </is>
      </c>
      <c r="E160" s="69" t="n">
        <v>4245.71</v>
      </c>
      <c r="F160" s="69">
        <f>IF(E160="","",E160*1.6)</f>
        <v/>
      </c>
      <c r="G160" s="69" t="n">
        <v>-0.01</v>
      </c>
      <c r="H160" s="69">
        <f>IF(E160="","",E160+F160+IF(G160="",0,G160))</f>
        <v/>
      </c>
      <c r="I160" s="69" t="n"/>
      <c r="J160" s="77">
        <f>IF(OR(H160="",I160=""),"",H160-I160)</f>
        <v/>
      </c>
      <c r="K160" s="69" t="inlineStr">
        <is>
          <t>Conforme Portal SIAPE</t>
        </is>
      </c>
    </row>
    <row r="161" ht="15.75" customHeight="1" s="42">
      <c r="B161" s="65" t="n">
        <v>2024</v>
      </c>
      <c r="C161" s="65" t="inlineStr">
        <is>
          <t>Fev</t>
        </is>
      </c>
      <c r="D161" s="66" t="inlineStr">
        <is>
          <t>Fev/2024</t>
        </is>
      </c>
      <c r="E161" s="66" t="n">
        <v>4245.71</v>
      </c>
      <c r="F161" s="66">
        <f>IF(E161="","",E161*1.6)</f>
        <v/>
      </c>
      <c r="G161" s="66" t="n">
        <v>-0.01</v>
      </c>
      <c r="H161" s="66">
        <f>IF(E161="","",E161+F161+IF(G161="",0,G161))</f>
        <v/>
      </c>
      <c r="I161" s="66" t="n"/>
      <c r="J161" s="77">
        <f>IF(OR(H161="",I161=""),"",H161-I161)</f>
        <v/>
      </c>
      <c r="K161" s="66" t="inlineStr">
        <is>
          <t>Conforme Portal SIAPE</t>
        </is>
      </c>
    </row>
    <row r="162" ht="15.75" customHeight="1" s="42">
      <c r="B162" s="68" t="n">
        <v>2024</v>
      </c>
      <c r="C162" s="68" t="inlineStr">
        <is>
          <t>Mar</t>
        </is>
      </c>
      <c r="D162" s="69" t="inlineStr">
        <is>
          <t>Mar/2024</t>
        </is>
      </c>
      <c r="E162" s="69" t="n">
        <v>4245.71</v>
      </c>
      <c r="F162" s="69">
        <f>IF(E162="","",E162*1.6)</f>
        <v/>
      </c>
      <c r="G162" s="69" t="n">
        <v>-0.01</v>
      </c>
      <c r="H162" s="69">
        <f>IF(E162="","",E162+F162+IF(G162="",0,G162))</f>
        <v/>
      </c>
      <c r="I162" s="69" t="n"/>
      <c r="J162" s="77">
        <f>IF(OR(H162="",I162=""),"",H162-I162)</f>
        <v/>
      </c>
      <c r="K162" s="69" t="inlineStr">
        <is>
          <t>Conforme Portal SIAPE</t>
        </is>
      </c>
    </row>
    <row r="163" ht="15.75" customHeight="1" s="42">
      <c r="B163" s="65" t="n">
        <v>2024</v>
      </c>
      <c r="C163" s="65" t="inlineStr">
        <is>
          <t>Abr</t>
        </is>
      </c>
      <c r="D163" s="66" t="inlineStr">
        <is>
          <t>Abr/2024</t>
        </is>
      </c>
      <c r="E163" s="66" t="n">
        <v>4245.71</v>
      </c>
      <c r="F163" s="66">
        <f>IF(E163="","",E163*1.6)</f>
        <v/>
      </c>
      <c r="G163" s="66" t="n">
        <v>-0.01</v>
      </c>
      <c r="H163" s="66">
        <f>IF(E163="","",E163+F163+IF(G163="",0,G163))</f>
        <v/>
      </c>
      <c r="I163" s="66" t="n"/>
      <c r="J163" s="77">
        <f>IF(OR(H163="",I163=""),"",H163-I163)</f>
        <v/>
      </c>
      <c r="K163" s="66" t="inlineStr">
        <is>
          <t>Conforme Portal SIAPE</t>
        </is>
      </c>
    </row>
    <row r="164" ht="15.75" customHeight="1" s="42">
      <c r="B164" s="68" t="n">
        <v>2024</v>
      </c>
      <c r="C164" s="68" t="inlineStr">
        <is>
          <t>Mai</t>
        </is>
      </c>
      <c r="D164" s="69" t="inlineStr">
        <is>
          <t>Mai/2024</t>
        </is>
      </c>
      <c r="E164" s="69" t="n">
        <v>4245.71</v>
      </c>
      <c r="F164" s="69">
        <f>IF(E164="","",E164*1.6)</f>
        <v/>
      </c>
      <c r="G164" s="69" t="n">
        <v>-0.01</v>
      </c>
      <c r="H164" s="69">
        <f>IF(E164="","",E164+F164+IF(G164="",0,G164))</f>
        <v/>
      </c>
      <c r="I164" s="69" t="n"/>
      <c r="J164" s="77">
        <f>IF(OR(H164="",I164=""),"",H164-I164)</f>
        <v/>
      </c>
      <c r="K164" s="69" t="inlineStr">
        <is>
          <t>Conforme Portal SIAPE</t>
        </is>
      </c>
    </row>
    <row r="165" ht="15.75" customHeight="1" s="42">
      <c r="B165" s="65" t="n">
        <v>2024</v>
      </c>
      <c r="C165" s="65" t="inlineStr">
        <is>
          <t>Jun</t>
        </is>
      </c>
      <c r="D165" s="66" t="inlineStr">
        <is>
          <t>Jun/2024</t>
        </is>
      </c>
      <c r="E165" s="66" t="n">
        <v>4245.71</v>
      </c>
      <c r="F165" s="66">
        <f>IF(E165="","",E165*1.6)</f>
        <v/>
      </c>
      <c r="G165" s="66" t="n">
        <v>-0.01</v>
      </c>
      <c r="H165" s="66">
        <f>IF(E165="","",E165+F165+IF(G165="",0,G165))</f>
        <v/>
      </c>
      <c r="I165" s="66" t="n"/>
      <c r="J165" s="77">
        <f>IF(OR(H165="",I165=""),"",H165-I165)</f>
        <v/>
      </c>
      <c r="K165" s="66" t="inlineStr">
        <is>
          <t>Conforme Portal SIAPE</t>
        </is>
      </c>
    </row>
    <row r="166" ht="15.75" customHeight="1" s="42">
      <c r="B166" s="68" t="n">
        <v>2024</v>
      </c>
      <c r="C166" s="68" t="inlineStr">
        <is>
          <t>Jul</t>
        </is>
      </c>
      <c r="D166" s="69" t="inlineStr">
        <is>
          <t>Jul/2024</t>
        </is>
      </c>
      <c r="E166" s="69" t="n">
        <v>4245.71</v>
      </c>
      <c r="F166" s="69">
        <f>IF(E166="","",E166*1.6)</f>
        <v/>
      </c>
      <c r="G166" s="69" t="n">
        <v>-0.01</v>
      </c>
      <c r="H166" s="69">
        <f>IF(E166="","",E166+F166+IF(G166="",0,G166))</f>
        <v/>
      </c>
      <c r="I166" s="69" t="n"/>
      <c r="J166" s="77">
        <f>IF(OR(H166="",I166=""),"",H166-I166)</f>
        <v/>
      </c>
      <c r="K166" s="69" t="inlineStr">
        <is>
          <t>Conforme Portal SIAPE</t>
        </is>
      </c>
    </row>
    <row r="167" ht="15.75" customHeight="1" s="42">
      <c r="B167" s="65" t="n">
        <v>2024</v>
      </c>
      <c r="C167" s="65" t="inlineStr">
        <is>
          <t>Ago</t>
        </is>
      </c>
      <c r="D167" s="66" t="inlineStr">
        <is>
          <t>Ago/2024</t>
        </is>
      </c>
      <c r="E167" s="66" t="n">
        <v>4245.71</v>
      </c>
      <c r="F167" s="66">
        <f>IF(E167="","",E167*1.6)</f>
        <v/>
      </c>
      <c r="G167" s="66" t="n">
        <v>-0.01</v>
      </c>
      <c r="H167" s="66">
        <f>IF(E167="","",E167+F167+IF(G167="",0,G167))</f>
        <v/>
      </c>
      <c r="I167" s="66" t="n"/>
      <c r="J167" s="77">
        <f>IF(OR(H167="",I167=""),"",H167-I167)</f>
        <v/>
      </c>
      <c r="K167" s="66" t="inlineStr">
        <is>
          <t>Conforme Portal SIAPE</t>
        </is>
      </c>
    </row>
    <row r="168" ht="15.75" customHeight="1" s="42">
      <c r="B168" s="68" t="n">
        <v>2024</v>
      </c>
      <c r="C168" s="68" t="inlineStr">
        <is>
          <t>Set</t>
        </is>
      </c>
      <c r="D168" s="69" t="inlineStr">
        <is>
          <t>Set/2024</t>
        </is>
      </c>
      <c r="E168" s="69" t="n">
        <v>4353.62</v>
      </c>
      <c r="F168" s="69">
        <f>IF(E168="","",E168*1.6)</f>
        <v/>
      </c>
      <c r="G168" s="69" t="n">
        <v>-0.01</v>
      </c>
      <c r="H168" s="69">
        <f>IF(E168="","",E168+F168+IF(G168="",0,G168))</f>
        <v/>
      </c>
      <c r="I168" s="69" t="n"/>
      <c r="J168" s="77">
        <f>IF(OR(H168="",I168=""),"",H168-I168)</f>
        <v/>
      </c>
      <c r="K168" s="69" t="inlineStr">
        <is>
          <t>Conforme Portal SIAPE</t>
        </is>
      </c>
    </row>
    <row r="169" ht="15.75" customHeight="1" s="42">
      <c r="B169" s="65" t="n">
        <v>2024</v>
      </c>
      <c r="C169" s="65" t="inlineStr">
        <is>
          <t>Out</t>
        </is>
      </c>
      <c r="D169" s="66" t="inlineStr">
        <is>
          <t>Out/2024</t>
        </is>
      </c>
      <c r="E169" s="66" t="n">
        <v>4353.62</v>
      </c>
      <c r="F169" s="66">
        <f>IF(E169="","",E169*1.6)</f>
        <v/>
      </c>
      <c r="G169" s="66" t="n">
        <v>-0.01</v>
      </c>
      <c r="H169" s="66">
        <f>IF(E169="","",E169+F169+IF(G169="",0,G169))</f>
        <v/>
      </c>
      <c r="I169" s="66" t="n"/>
      <c r="J169" s="77">
        <f>IF(OR(H169="",I169=""),"",H169-I169)</f>
        <v/>
      </c>
      <c r="K169" s="66" t="inlineStr">
        <is>
          <t>Conforme Portal SIAPE</t>
        </is>
      </c>
    </row>
    <row r="170" ht="15.75" customHeight="1" s="42">
      <c r="B170" s="68" t="n">
        <v>2024</v>
      </c>
      <c r="C170" s="68" t="inlineStr">
        <is>
          <t>Nov</t>
        </is>
      </c>
      <c r="D170" s="69" t="inlineStr">
        <is>
          <t>Nov/2024</t>
        </is>
      </c>
      <c r="E170" s="69" t="n">
        <v>4353.62</v>
      </c>
      <c r="F170" s="69">
        <f>IF(E170="","",E170*1.6)</f>
        <v/>
      </c>
      <c r="G170" s="69" t="n">
        <v>-0.01</v>
      </c>
      <c r="H170" s="69">
        <f>IF(E170="","",E170+F170+IF(G170="",0,G170))</f>
        <v/>
      </c>
      <c r="I170" s="69" t="n"/>
      <c r="J170" s="77">
        <f>IF(OR(H170="",I170=""),"",H170-I170)</f>
        <v/>
      </c>
      <c r="K170" s="69" t="inlineStr">
        <is>
          <t>Conforme Portal SIAPE</t>
        </is>
      </c>
    </row>
    <row r="171" ht="15.75" customHeight="1" s="42">
      <c r="B171" s="65" t="n">
        <v>2024</v>
      </c>
      <c r="C171" s="65" t="inlineStr">
        <is>
          <t>Dez</t>
        </is>
      </c>
      <c r="D171" s="66" t="inlineStr">
        <is>
          <t>Dez/2024</t>
        </is>
      </c>
      <c r="E171" s="66" t="n"/>
      <c r="F171" s="66">
        <f>IF(E171="","",E171*1.6)</f>
        <v/>
      </c>
      <c r="G171" s="66" t="n"/>
      <c r="H171" s="66">
        <f>IF(E171="","",E171+F171+IF(G171="",0,G171))</f>
        <v/>
      </c>
      <c r="I171" s="66" t="n"/>
      <c r="J171" s="77">
        <f>IF(OR(H171="",I171=""),"",H171-I171)</f>
        <v/>
      </c>
      <c r="K171" s="66" t="n"/>
    </row>
    <row r="172" ht="15.75" customHeight="1" s="42">
      <c r="B172" s="68" t="n">
        <v>2025</v>
      </c>
      <c r="C172" s="68" t="inlineStr">
        <is>
          <t>Jan</t>
        </is>
      </c>
      <c r="D172" s="69" t="inlineStr">
        <is>
          <t>Jan/2025</t>
        </is>
      </c>
      <c r="E172" s="69" t="n">
        <v>4353.62</v>
      </c>
      <c r="F172" s="69">
        <f>IF(E172="","",E172*1.6)</f>
        <v/>
      </c>
      <c r="G172" s="69" t="n">
        <v>-0.01</v>
      </c>
      <c r="H172" s="69">
        <f>IF(E172="","",E172+F172+IF(G172="",0,G172))</f>
        <v/>
      </c>
      <c r="I172" s="69" t="n"/>
      <c r="J172" s="77">
        <f>IF(OR(H172="",I172=""),"",H172-I172)</f>
        <v/>
      </c>
      <c r="K172" s="69" t="inlineStr">
        <is>
          <t>Conforme Portal SIAPE</t>
        </is>
      </c>
    </row>
    <row r="173" ht="15.75" customHeight="1" s="42">
      <c r="B173" s="65" t="n">
        <v>2025</v>
      </c>
      <c r="C173" s="65" t="inlineStr">
        <is>
          <t>Fev</t>
        </is>
      </c>
      <c r="D173" s="66" t="inlineStr">
        <is>
          <t>Fev/2025</t>
        </is>
      </c>
      <c r="E173" s="66" t="n">
        <v>4353.62</v>
      </c>
      <c r="F173" s="66">
        <f>IF(E173="","",E173*1.6)</f>
        <v/>
      </c>
      <c r="G173" s="66" t="n">
        <v>-0.01</v>
      </c>
      <c r="H173" s="66">
        <f>IF(E173="","",E173+F173+IF(G173="",0,G173))</f>
        <v/>
      </c>
      <c r="I173" s="66" t="n"/>
      <c r="J173" s="77">
        <f>IF(OR(H173="",I173=""),"",H173-I173)</f>
        <v/>
      </c>
      <c r="K173" s="66" t="inlineStr">
        <is>
          <t>Conforme Portal SIAPE</t>
        </is>
      </c>
    </row>
    <row r="174" ht="15.75" customHeight="1" s="42">
      <c r="B174" s="68" t="n">
        <v>2025</v>
      </c>
      <c r="C174" s="68" t="inlineStr">
        <is>
          <t>Mar</t>
        </is>
      </c>
      <c r="D174" s="69" t="inlineStr">
        <is>
          <t>Mar/2025</t>
        </is>
      </c>
      <c r="E174" s="69" t="n">
        <v>4353.62</v>
      </c>
      <c r="F174" s="69">
        <f>IF(E174="","",E174*1.6)</f>
        <v/>
      </c>
      <c r="G174" s="69" t="n">
        <v>-0.01</v>
      </c>
      <c r="H174" s="69">
        <f>IF(E174="","",E174+F174+IF(G174="",0,G174))</f>
        <v/>
      </c>
      <c r="I174" s="69" t="n"/>
      <c r="J174" s="77">
        <f>IF(OR(H174="",I174=""),"",H174-I174)</f>
        <v/>
      </c>
      <c r="K174" s="69" t="inlineStr">
        <is>
          <t>Conforme Portal SIAPE</t>
        </is>
      </c>
    </row>
    <row r="175" ht="15.75" customHeight="1" s="42">
      <c r="B175" s="65" t="n">
        <v>2025</v>
      </c>
      <c r="C175" s="65" t="inlineStr">
        <is>
          <t>Abr</t>
        </is>
      </c>
      <c r="D175" s="66" t="inlineStr">
        <is>
          <t>Abr/2025</t>
        </is>
      </c>
      <c r="E175" s="66" t="n">
        <v>4842.47</v>
      </c>
      <c r="F175" s="66">
        <f>IF(E175="","",E175*1.6)</f>
        <v/>
      </c>
      <c r="G175" s="66" t="n">
        <v>-0.01</v>
      </c>
      <c r="H175" s="66">
        <f>IF(E175="","",E175+F175+IF(G175="",0,G175))</f>
        <v/>
      </c>
      <c r="I175" s="66" t="n"/>
      <c r="J175" s="77">
        <f>IF(OR(H175="",I175=""),"",H175-I175)</f>
        <v/>
      </c>
      <c r="K175" s="66" t="inlineStr">
        <is>
          <t>Conforme Portal SIAPE</t>
        </is>
      </c>
    </row>
    <row r="176" ht="15.75" customHeight="1" s="42">
      <c r="B176" s="68" t="n">
        <v>2025</v>
      </c>
      <c r="C176" s="68" t="inlineStr">
        <is>
          <t>Mai</t>
        </is>
      </c>
      <c r="D176" s="69" t="inlineStr">
        <is>
          <t>Mai/2025</t>
        </is>
      </c>
      <c r="E176" s="69" t="n">
        <v>4842.47</v>
      </c>
      <c r="F176" s="69">
        <f>IF(E176="","",E176*1.6)</f>
        <v/>
      </c>
      <c r="G176" s="69" t="n">
        <v>-0.01</v>
      </c>
      <c r="H176" s="69">
        <f>IF(E176="","",E176+F176+IF(G176="",0,G176))</f>
        <v/>
      </c>
      <c r="I176" s="69" t="n"/>
      <c r="J176" s="77">
        <f>IF(OR(H176="",I176=""),"",H176-I176)</f>
        <v/>
      </c>
      <c r="K176" s="69" t="inlineStr">
        <is>
          <t>Conforme Portal SIAPE</t>
        </is>
      </c>
    </row>
    <row r="177" ht="15.75" customHeight="1" s="42">
      <c r="B177" s="65" t="n">
        <v>2025</v>
      </c>
      <c r="C177" s="65" t="inlineStr">
        <is>
          <t>Jun</t>
        </is>
      </c>
      <c r="D177" s="66" t="inlineStr">
        <is>
          <t>Jun/2025</t>
        </is>
      </c>
      <c r="E177" s="66" t="n">
        <v>4842.47</v>
      </c>
      <c r="F177" s="66">
        <f>IF(E177="","",E177*1.6)</f>
        <v/>
      </c>
      <c r="G177" s="66" t="n">
        <v>-0.01</v>
      </c>
      <c r="H177" s="66">
        <f>IF(E177="","",E177+F177+IF(G177="",0,G177))</f>
        <v/>
      </c>
      <c r="I177" s="66" t="n"/>
      <c r="J177" s="77">
        <f>IF(OR(H177="",I177=""),"",H177-I177)</f>
        <v/>
      </c>
      <c r="K177" s="66" t="inlineStr">
        <is>
          <t>Conforme Portal SIAPE</t>
        </is>
      </c>
    </row>
    <row r="178" ht="15.75" customHeight="1" s="42">
      <c r="B178" s="68" t="n">
        <v>2025</v>
      </c>
      <c r="C178" s="68" t="inlineStr">
        <is>
          <t>Jul</t>
        </is>
      </c>
      <c r="D178" s="69" t="inlineStr">
        <is>
          <t>Jul/2025</t>
        </is>
      </c>
      <c r="E178" s="69" t="n">
        <v>4842.47</v>
      </c>
      <c r="F178" s="69">
        <f>IF(E178="","",E178*1.6)</f>
        <v/>
      </c>
      <c r="G178" s="69" t="n">
        <v>-0.01</v>
      </c>
      <c r="H178" s="69">
        <f>IF(E178="","",E178+F178+IF(G178="",0,G178))</f>
        <v/>
      </c>
      <c r="I178" s="69" t="n"/>
      <c r="J178" s="77">
        <f>IF(OR(H178="",I178=""),"",H178-I178)</f>
        <v/>
      </c>
      <c r="K178" s="69" t="inlineStr">
        <is>
          <t>Conforme Portal SIAPE</t>
        </is>
      </c>
    </row>
    <row r="179" ht="15.75" customHeight="1" s="42">
      <c r="B179" s="65" t="n">
        <v>2025</v>
      </c>
      <c r="C179" s="65" t="inlineStr">
        <is>
          <t>Ago</t>
        </is>
      </c>
      <c r="D179" s="66" t="inlineStr">
        <is>
          <t>Ago/2025</t>
        </is>
      </c>
      <c r="E179" s="66" t="n">
        <v>4842.47</v>
      </c>
      <c r="F179" s="66">
        <f>IF(E179="","",E179*1.6)</f>
        <v/>
      </c>
      <c r="G179" s="66" t="n">
        <v>-0.01</v>
      </c>
      <c r="H179" s="66">
        <f>IF(E179="","",E179+F179+IF(G179="",0,G179))</f>
        <v/>
      </c>
      <c r="I179" s="66" t="n"/>
      <c r="J179" s="77">
        <f>IF(OR(H179="",I179=""),"",H179-I179)</f>
        <v/>
      </c>
      <c r="K179" s="66" t="inlineStr">
        <is>
          <t>Conforme Portal SIAPE</t>
        </is>
      </c>
    </row>
    <row r="180" ht="15.75" customHeight="1" s="42">
      <c r="B180" s="68" t="n">
        <v>2025</v>
      </c>
      <c r="C180" s="68" t="inlineStr">
        <is>
          <t>Set</t>
        </is>
      </c>
      <c r="D180" s="69" t="inlineStr">
        <is>
          <t>Set/2025</t>
        </is>
      </c>
      <c r="E180" s="69" t="n">
        <v>5002.27</v>
      </c>
      <c r="F180" s="69">
        <f>IF(E180="","",E180*1.6)</f>
        <v/>
      </c>
      <c r="G180" s="69" t="n">
        <v>-0.01</v>
      </c>
      <c r="H180" s="69">
        <f>IF(E180="","",E180+F180+IF(G180="",0,G180))</f>
        <v/>
      </c>
      <c r="I180" s="69" t="n"/>
      <c r="J180" s="77">
        <f>IF(OR(H180="",I180=""),"",H180-I180)</f>
        <v/>
      </c>
      <c r="K180" s="69" t="inlineStr">
        <is>
          <t>Conforme Portal SIAPE</t>
        </is>
      </c>
    </row>
    <row r="181" ht="15.75" customHeight="1" s="42">
      <c r="B181" s="65" t="n">
        <v>2025</v>
      </c>
      <c r="C181" s="65" t="inlineStr">
        <is>
          <t>Out</t>
        </is>
      </c>
      <c r="D181" s="66" t="inlineStr">
        <is>
          <t>Out/2025</t>
        </is>
      </c>
      <c r="E181" s="66" t="n">
        <v>5002.27</v>
      </c>
      <c r="F181" s="66">
        <f>IF(E181="","",E181*1.6)</f>
        <v/>
      </c>
      <c r="G181" s="66" t="n">
        <v>-0.01</v>
      </c>
      <c r="H181" s="66">
        <f>IF(E181="","",E181+F181+IF(G181="",0,G181))</f>
        <v/>
      </c>
      <c r="I181" s="66" t="n"/>
      <c r="J181" s="77">
        <f>IF(OR(H181="",I181=""),"",H181-I181)</f>
        <v/>
      </c>
      <c r="K181" s="66" t="inlineStr">
        <is>
          <t>Conforme Portal SIAPE</t>
        </is>
      </c>
    </row>
    <row r="182" ht="15.75" customHeight="1" s="42">
      <c r="B182" s="68" t="n">
        <v>2025</v>
      </c>
      <c r="C182" s="68" t="inlineStr">
        <is>
          <t>Nov</t>
        </is>
      </c>
      <c r="D182" s="69" t="inlineStr">
        <is>
          <t>Nov/2025</t>
        </is>
      </c>
      <c r="E182" s="69" t="n">
        <v>5002.27</v>
      </c>
      <c r="F182" s="69">
        <f>IF(E182="","",E182*1.6)</f>
        <v/>
      </c>
      <c r="G182" s="69" t="n">
        <v>-0.01</v>
      </c>
      <c r="H182" s="69">
        <f>IF(E182="","",E182+F182+IF(G182="",0,G182))</f>
        <v/>
      </c>
      <c r="I182" s="69" t="n"/>
      <c r="J182" s="77">
        <f>IF(OR(H182="",I182=""),"",H182-I182)</f>
        <v/>
      </c>
      <c r="K182" s="69" t="inlineStr">
        <is>
          <t>Conforme Portal SIAPE</t>
        </is>
      </c>
    </row>
    <row r="183" ht="15.75" customHeight="1" s="42">
      <c r="B183" s="65" t="n">
        <v>2025</v>
      </c>
      <c r="C183" s="65" t="inlineStr">
        <is>
          <t>Dez</t>
        </is>
      </c>
      <c r="D183" s="66" t="inlineStr">
        <is>
          <t>Dez/2025</t>
        </is>
      </c>
      <c r="E183" s="66" t="n">
        <v>5002.27</v>
      </c>
      <c r="F183" s="66">
        <f>IF(E183="","",E183*1.6)</f>
        <v/>
      </c>
      <c r="G183" s="66" t="n">
        <v>-0.01</v>
      </c>
      <c r="H183" s="66">
        <f>IF(E183="","",E183+F183+IF(G183="",0,G183))</f>
        <v/>
      </c>
      <c r="I183" s="66" t="n"/>
      <c r="J183" s="77">
        <f>IF(OR(H183="",I183=""),"",H183-I183)</f>
        <v/>
      </c>
      <c r="K183" s="66" t="inlineStr">
        <is>
          <t>Conforme Portal SIAPE</t>
        </is>
      </c>
    </row>
    <row r="184" ht="15.75" customHeight="1" s="42">
      <c r="B184" s="68" t="n">
        <v>2026</v>
      </c>
      <c r="C184" s="68" t="inlineStr">
        <is>
          <t>Jan</t>
        </is>
      </c>
      <c r="D184" s="69" t="inlineStr">
        <is>
          <t>Jan/2026</t>
        </is>
      </c>
      <c r="E184" s="69" t="n">
        <v>5068.93</v>
      </c>
      <c r="F184" s="69">
        <f>IF(E184="","",E184*1.6)</f>
        <v/>
      </c>
      <c r="G184" s="69" t="n">
        <v>-0.01</v>
      </c>
      <c r="H184" s="69">
        <f>IF(E184="","",E184+F184+IF(G184="",0,G184))</f>
        <v/>
      </c>
      <c r="I184" s="69" t="n"/>
      <c r="J184" s="77">
        <f>IF(OR(H184="",I184=""),"",H184-I184)</f>
        <v/>
      </c>
      <c r="K184" s="69" t="inlineStr">
        <is>
          <t>Conforme Portal SIAPE</t>
        </is>
      </c>
    </row>
    <row r="185" ht="15.75" customHeight="1" s="42">
      <c r="B185" s="65" t="n">
        <v>2026</v>
      </c>
      <c r="C185" s="65" t="inlineStr">
        <is>
          <t>Fev</t>
        </is>
      </c>
      <c r="D185" s="66" t="inlineStr">
        <is>
          <t>Fev/2026</t>
        </is>
      </c>
      <c r="E185" s="66" t="n">
        <v>5068.93</v>
      </c>
      <c r="F185" s="66">
        <f>IF(E185="","",E185*1.6)</f>
        <v/>
      </c>
      <c r="G185" s="66" t="n">
        <v>-0.01</v>
      </c>
      <c r="H185" s="66">
        <f>IF(E185="","",E185+F185+IF(G185="",0,G185))</f>
        <v/>
      </c>
      <c r="I185" s="66" t="n"/>
      <c r="J185" s="77">
        <f>IF(OR(H185="",I185=""),"",H185-I185)</f>
        <v/>
      </c>
      <c r="K185" s="66" t="inlineStr">
        <is>
          <t>Conforme Portal SIAPE</t>
        </is>
      </c>
    </row>
    <row r="186" ht="15.75" customHeight="1" s="42">
      <c r="B186" s="68" t="n">
        <v>2026</v>
      </c>
      <c r="C186" s="68" t="inlineStr">
        <is>
          <t>Mar</t>
        </is>
      </c>
      <c r="D186" s="69" t="inlineStr">
        <is>
          <t>Mar/2026</t>
        </is>
      </c>
      <c r="E186" s="69" t="n">
        <v>5068.93</v>
      </c>
      <c r="F186" s="69">
        <f>IF(E186="","",E186*1.6)</f>
        <v/>
      </c>
      <c r="G186" s="69" t="n">
        <v>-0.01</v>
      </c>
      <c r="H186" s="69">
        <f>IF(E186="","",E186+F186+IF(G186="",0,G186))</f>
        <v/>
      </c>
      <c r="I186" s="69" t="n"/>
      <c r="J186" s="77">
        <f>IF(OR(H186="",I186=""),"",H186-I186)</f>
        <v/>
      </c>
      <c r="K186" s="69" t="inlineStr">
        <is>
          <t>Conforme Portal SIAPE</t>
        </is>
      </c>
    </row>
    <row r="187" ht="15.75" customHeight="1" s="42">
      <c r="B187" s="65" t="n">
        <v>2026</v>
      </c>
      <c r="C187" s="65" t="inlineStr">
        <is>
          <t>Abr</t>
        </is>
      </c>
      <c r="D187" s="66" t="inlineStr">
        <is>
          <t>Abr/2026</t>
        </is>
      </c>
      <c r="E187" s="66" t="n">
        <v>5298.54</v>
      </c>
      <c r="F187" s="66">
        <f>IF(E187="","",E187*1.6)</f>
        <v/>
      </c>
      <c r="G187" s="66" t="n">
        <v>0.01</v>
      </c>
      <c r="H187" s="66">
        <f>IF(E187="","",E187+F187+IF(G187="",0,G187))</f>
        <v/>
      </c>
      <c r="I187" s="66" t="n"/>
      <c r="J187" s="77">
        <f>IF(OR(H187="",I187=""),"",H187-I187)</f>
        <v/>
      </c>
      <c r="K187" s="66" t="inlineStr">
        <is>
          <t>Conforme Portal SIAPE</t>
        </is>
      </c>
    </row>
    <row r="188" ht="15.75" customHeight="1" s="42">
      <c r="B188" s="68" t="n">
        <v>2026</v>
      </c>
      <c r="C188" s="68" t="inlineStr">
        <is>
          <t>Mai</t>
        </is>
      </c>
      <c r="D188" s="69" t="inlineStr">
        <is>
          <t>Mai/2026</t>
        </is>
      </c>
      <c r="E188" s="69" t="n">
        <v>5298.54</v>
      </c>
      <c r="F188" s="69">
        <f>IF(E188="","",E188*1.6)</f>
        <v/>
      </c>
      <c r="G188" s="69" t="n">
        <v>0.01</v>
      </c>
      <c r="H188" s="69">
        <f>IF(E188="","",E188+F188+IF(G188="",0,G188))</f>
        <v/>
      </c>
      <c r="I188" s="69" t="n"/>
      <c r="J188" s="77">
        <f>IF(OR(H188="",I188=""),"",H188-I188)</f>
        <v/>
      </c>
      <c r="K188" s="69" t="inlineStr">
        <is>
          <t>Conforme Portal SIAPE</t>
        </is>
      </c>
    </row>
    <row r="189" ht="15.75" customHeight="1" s="42">
      <c r="B189" s="65" t="n">
        <v>2026</v>
      </c>
      <c r="C189" s="65" t="inlineStr">
        <is>
          <t>Jun</t>
        </is>
      </c>
      <c r="D189" s="66" t="inlineStr">
        <is>
          <t>Jun/2026</t>
        </is>
      </c>
      <c r="E189" s="66" t="n">
        <v>5298.54</v>
      </c>
      <c r="F189" s="66">
        <f>IF(E189="","",E189*1.6)</f>
        <v/>
      </c>
      <c r="G189" s="66" t="n">
        <v>0.01</v>
      </c>
      <c r="H189" s="66">
        <f>IF(E189="","",E189+F189+IF(G189="",0,G189))</f>
        <v/>
      </c>
      <c r="I189" s="66" t="n"/>
      <c r="J189" s="77">
        <f>IF(OR(H189="",I189=""),"",H189-I189)</f>
        <v/>
      </c>
      <c r="K189" s="66" t="inlineStr">
        <is>
          <t>Conforme Portal SIAPE</t>
        </is>
      </c>
    </row>
    <row r="190" ht="15.75" customHeight="1" s="42">
      <c r="B190" s="68" t="n">
        <v>2026</v>
      </c>
      <c r="C190" s="68" t="inlineStr">
        <is>
          <t>Jul</t>
        </is>
      </c>
      <c r="D190" s="69" t="inlineStr">
        <is>
          <t>Jul/2026</t>
        </is>
      </c>
      <c r="E190" s="69" t="n">
        <v>5298.54</v>
      </c>
      <c r="F190" s="69">
        <f>IF(E190="","",E190*1.6)</f>
        <v/>
      </c>
      <c r="G190" s="69" t="n">
        <v>0.01</v>
      </c>
      <c r="H190" s="69">
        <f>IF(E190="","",E190+F190+IF(G190="",0,G190))</f>
        <v/>
      </c>
      <c r="I190" s="69" t="n"/>
      <c r="J190" s="77">
        <f>IF(OR(H190="",I190=""),"",H190-I190)</f>
        <v/>
      </c>
      <c r="K190" s="69" t="inlineStr">
        <is>
          <t>Conforme Portal SIAPE</t>
        </is>
      </c>
    </row>
    <row r="191" ht="15.75" customHeight="1" s="42">
      <c r="B191" s="65" t="n">
        <v>2026</v>
      </c>
      <c r="C191" s="65" t="inlineStr">
        <is>
          <t>Ago</t>
        </is>
      </c>
      <c r="D191" s="66" t="inlineStr">
        <is>
          <t>Ago/2026</t>
        </is>
      </c>
      <c r="E191" s="66" t="n"/>
      <c r="F191" s="66">
        <f>IF(E191="","",E191*1.6)</f>
        <v/>
      </c>
      <c r="G191" s="66" t="n"/>
      <c r="H191" s="66">
        <f>IF(E191="","",E191+F191+IF(G191="",0,G191))</f>
        <v/>
      </c>
      <c r="I191" s="66" t="n"/>
      <c r="J191" s="77">
        <f>IF(OR(H191="",I191=""),"",H191-I191)</f>
        <v/>
      </c>
      <c r="K191" s="66" t="n"/>
    </row>
    <row r="192" ht="15.75" customHeight="1" s="42">
      <c r="B192" s="68" t="n">
        <v>2026</v>
      </c>
      <c r="C192" s="68" t="inlineStr">
        <is>
          <t>Set</t>
        </is>
      </c>
      <c r="D192" s="69" t="inlineStr">
        <is>
          <t>Set/2026</t>
        </is>
      </c>
      <c r="E192" s="69" t="n"/>
      <c r="F192" s="69">
        <f>IF(E192="","",E192*1.6)</f>
        <v/>
      </c>
      <c r="G192" s="69" t="n"/>
      <c r="H192" s="69">
        <f>IF(E192="","",E192+F192+IF(G192="",0,G192))</f>
        <v/>
      </c>
      <c r="I192" s="69" t="n"/>
      <c r="J192" s="77">
        <f>IF(OR(H192="",I192=""),"",H192-I192)</f>
        <v/>
      </c>
      <c r="K192" s="69" t="n"/>
    </row>
    <row r="193" ht="15.75" customHeight="1" s="42">
      <c r="B193" s="65" t="n">
        <v>2026</v>
      </c>
      <c r="C193" s="65" t="inlineStr">
        <is>
          <t>Out</t>
        </is>
      </c>
      <c r="D193" s="66" t="inlineStr">
        <is>
          <t>Out/2026</t>
        </is>
      </c>
      <c r="E193" s="66" t="n"/>
      <c r="F193" s="66">
        <f>IF(E193="","",E193*1.6)</f>
        <v/>
      </c>
      <c r="G193" s="66" t="n"/>
      <c r="H193" s="66">
        <f>IF(E193="","",E193+F193+IF(G193="",0,G193))</f>
        <v/>
      </c>
      <c r="I193" s="66" t="n"/>
      <c r="J193" s="77">
        <f>IF(OR(H193="",I193=""),"",H193-I193)</f>
        <v/>
      </c>
      <c r="K193" s="66" t="n"/>
    </row>
    <row r="194" ht="15.75" customHeight="1" s="42">
      <c r="B194" s="68" t="n">
        <v>2026</v>
      </c>
      <c r="C194" s="68" t="inlineStr">
        <is>
          <t>Nov</t>
        </is>
      </c>
      <c r="D194" s="69" t="inlineStr">
        <is>
          <t>Nov/2026</t>
        </is>
      </c>
      <c r="E194" s="69" t="n"/>
      <c r="F194" s="69">
        <f>IF(E194="","",E194*1.6)</f>
        <v/>
      </c>
      <c r="G194" s="69" t="n"/>
      <c r="H194" s="69">
        <f>IF(E194="","",E194+F194+IF(G194="",0,G194))</f>
        <v/>
      </c>
      <c r="I194" s="69" t="n"/>
      <c r="J194" s="77">
        <f>IF(OR(H194="",I194=""),"",H194-I194)</f>
        <v/>
      </c>
      <c r="K194" s="69" t="n"/>
    </row>
    <row r="195" ht="15.75" customHeight="1" s="42">
      <c r="B195" s="65" t="n">
        <v>2026</v>
      </c>
      <c r="C195" s="65" t="inlineStr">
        <is>
          <t>Dez</t>
        </is>
      </c>
      <c r="D195" s="66" t="inlineStr">
        <is>
          <t>Dez/2026</t>
        </is>
      </c>
      <c r="E195" s="66" t="n"/>
      <c r="F195" s="66">
        <f>IF(E195="","",E195*1.6)</f>
        <v/>
      </c>
      <c r="G195" s="66" t="n"/>
      <c r="H195" s="66">
        <f>IF(E195="","",E195+F195+IF(G195="",0,G195))</f>
        <v/>
      </c>
      <c r="I195" s="66" t="n"/>
      <c r="J195" s="77">
        <f>IF(OR(H195="",I195=""),"",H195-I195)</f>
        <v/>
      </c>
      <c r="K195" s="66" t="n"/>
    </row>
    <row r="196" ht="24" customHeight="1" s="42">
      <c r="B196" s="78" t="inlineStr">
        <is>
          <t>TOTAL LUCROS CESSANTES (base conservadora)</t>
        </is>
      </c>
      <c r="E196" s="79" t="n"/>
      <c r="F196" s="79" t="n"/>
      <c r="G196" s="79" t="n"/>
      <c r="H196" s="79" t="n"/>
      <c r="I196" s="79" t="n"/>
      <c r="J196" s="80">
        <f>SUM(J4:J195)</f>
        <v/>
      </c>
      <c r="K196" s="79" t="n"/>
    </row>
  </sheetData>
  <mergeCells count="3">
    <mergeCell ref="B1:K1"/>
    <mergeCell ref="B196:D196"/>
    <mergeCell ref="B2:K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B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1" min="1" max="1"/>
    <col width="100" customWidth="1" style="41" min="2" max="2"/>
  </cols>
  <sheetData>
    <row r="1" ht="27.75" customHeight="1" s="42">
      <c r="B1" s="50" t="inlineStr">
        <is>
          <t>TEXTO DO PEDIDO LAI — PRONTO PARA PROTOCOLAR NO FALA.BR</t>
        </is>
      </c>
    </row>
    <row r="3" ht="27.75" customHeight="1" s="42">
      <c r="B3" s="81" t="inlineStr">
        <is>
          <t>DESTINO:  INSS — Instituto Nacional do Seguro Social</t>
        </is>
      </c>
    </row>
    <row r="4" ht="27.75" customHeight="1" s="42">
      <c r="B4" s="81" t="inlineStr">
        <is>
          <t>PLATAFORMA:  https://falabr.cgu.gov.br</t>
        </is>
      </c>
    </row>
    <row r="5" ht="27.75" customHeight="1" s="42">
      <c r="B5" s="81" t="inlineStr">
        <is>
          <t>ASSUNTO:  Solicitação de Fichas Financeiras e Histórico Funcional — Servidor SIAPE [INSERIR MATRÍCULA]</t>
        </is>
      </c>
    </row>
    <row r="6" ht="7.5" customHeight="1" s="42"/>
    <row r="7" ht="27.75" customHeight="1" s="42">
      <c r="B7" s="81" t="inlineStr">
        <is>
          <t>TEXTO DO PEDIDO:</t>
        </is>
      </c>
    </row>
    <row r="8" ht="27.75" customHeight="1" s="42">
      <c r="B8" s="66" t="inlineStr">
        <is>
          <t>Prezados,</t>
        </is>
      </c>
    </row>
    <row r="9" ht="7.5" customHeight="1" s="42"/>
    <row r="10" ht="27.75" customHeight="1" s="42">
      <c r="B10" s="66" t="inlineStr">
        <is>
          <t>Com fundamento na Lei nº 12.527/2011 (Lei de Acesso à Informação), art. 10, solicito o fornecimento das seguintes informações referentes ao servidor ocupante da matrícula SIAPE nº [INSERIR MATRÍCULA DE ANDERSON VIEIRA DE LIMA], cargo de Técnico do Seguro Social, lotado na Agência da Previdência Social de Eirunepé/AM:</t>
        </is>
      </c>
    </row>
    <row r="11" ht="7.5" customHeight="1" s="42"/>
    <row r="12" ht="27.75" customHeight="1" s="42">
      <c r="B12" s="70" t="inlineStr">
        <is>
          <t>1.  Fichas Financeiras Anuais discriminadas por rubrica, referentes ao período de novembro de 2008 a dezembro de 2013 (dados anteriores à disponibilização completa no Portal da Transparência);</t>
        </is>
      </c>
    </row>
    <row r="13" ht="7.5" customHeight="1" s="42"/>
    <row r="14" ht="27.75" customHeight="1" s="42">
      <c r="B14" s="70" t="inlineStr">
        <is>
          <t>2.  Histórico de ocorrências cadastrais no SIAPE, contendo exclusivamente:</t>
        </is>
      </c>
    </row>
    <row r="15" ht="27.75" customHeight="1" s="42">
      <c r="B15" s="82" t="inlineStr">
        <is>
          <t xml:space="preserve">   a)  datas de ingresso, progressões e promoções funcionais;</t>
        </is>
      </c>
    </row>
    <row r="16" ht="27.75" customHeight="1" s="42">
      <c r="B16" s="82" t="inlineStr">
        <is>
          <t xml:space="preserve">   b)  evolução de classe e padrão com as respectivas datas de implementação;</t>
        </is>
      </c>
    </row>
    <row r="17" ht="27.75" customHeight="1" s="42">
      <c r="B17" s="82" t="inlineStr">
        <is>
          <t xml:space="preserve">   c)  atos administrativos (portarias) que fundamentaram cada progressão ou promoção.</t>
        </is>
      </c>
    </row>
    <row r="18" ht="7.5" customHeight="1" s="42"/>
    <row r="19" ht="27.75" customHeight="1" s="42">
      <c r="B19" s="66" t="inlineStr">
        <is>
          <t>Para fins de adequação à Lei nº 13.709/2018 (LGPD), autorizo expressamente o tarjamento de dados pessoais sensíveis do servidor (CPF, RG, endereço residencial, dados bancários e informações de saúde), sendo suficientes para atender a presente solicitação as rubricas remuneratórias brutas e o histórico de padrões funcionais.</t>
        </is>
      </c>
    </row>
    <row r="20" ht="7.5" customHeight="1" s="42"/>
    <row r="21" ht="27.75" customHeight="1" s="42">
      <c r="B21" s="66" t="inlineStr">
        <is>
          <t>O interesse que motiva o pedido é exclusivamente o acompanhamento técnico da estrutura remuneratória da carreira de Técnico do Seguro Social no período indicado, para fins de pesquisa sobre a evolução funcional da categoria.</t>
        </is>
      </c>
    </row>
    <row r="22" ht="7.5" customHeight="1" s="42"/>
    <row r="23" ht="27.75" customHeight="1" s="42">
      <c r="B23" s="66" t="inlineStr">
        <is>
          <t>Respeitosamente,</t>
        </is>
      </c>
    </row>
    <row r="24" ht="27.75" customHeight="1" s="42">
      <c r="B24" s="66" t="inlineStr">
        <is>
          <t>[Nome do solicitante — NÃO usar nome do Autor nem da advogada]</t>
        </is>
      </c>
    </row>
    <row r="25" ht="27.75" customHeight="1" s="42">
      <c r="B25" s="66" t="inlineStr">
        <is>
          <t>[CPF]</t>
        </is>
      </c>
    </row>
    <row r="26" ht="27.75" customHeight="1" s="42">
      <c r="B26" s="66" t="inlineStr">
        <is>
          <t>[E-mail de contato]</t>
        </is>
      </c>
    </row>
    <row r="27" ht="7.5" customHeight="1" s="42"/>
    <row r="28" ht="27.75" customHeight="1" s="42">
      <c r="B28" s="81" t="inlineStr">
        <is>
          <t>IMPORTANTE:  Protocolar em nome de qualquer pessoa física que não seja o Autor nem a Dra. Ana Carolina. A LAI não exige justificativa. Prazo de resposta: 20 dias úteis + 10 de prorrogação.</t>
        </is>
      </c>
    </row>
    <row r="29" ht="27.75" customHeight="1" s="42">
      <c r="B29" s="81" t="inlineStr">
        <is>
          <t>SE NEGAREM:  Recurso: alegar que remuneração de servidor público é dado de transparência ativa obrigatória — STF ARE 652.777. Não é dado sensível protegido pela LGPD.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41" min="1" max="1"/>
    <col width="26" customWidth="1" style="41" min="2" max="2"/>
    <col width="50" customWidth="1" style="41" min="3" max="3"/>
    <col width="30" customWidth="1" style="41" min="4" max="4"/>
    <col width="18" customWidth="1" style="41" min="5" max="5"/>
  </cols>
  <sheetData>
    <row r="1" ht="27.75" customHeight="1" s="42">
      <c r="B1" s="50" t="inlineStr">
        <is>
          <t>FONTES DE DADOS PÚBLICOS — GUIA DE COLETA</t>
        </is>
      </c>
    </row>
    <row r="2" ht="36" customHeight="1" s="42">
      <c r="B2" s="52" t="inlineStr">
        <is>
          <t>Fonte</t>
        </is>
      </c>
      <c r="C2" s="52" t="inlineStr">
        <is>
          <t>URL / Como acessar</t>
        </is>
      </c>
      <c r="D2" s="52" t="inlineStr">
        <is>
          <t>O que extrair</t>
        </is>
      </c>
      <c r="E2" s="52" t="inlineStr">
        <is>
          <t>Período coberto</t>
        </is>
      </c>
    </row>
    <row r="3" ht="39.75" customHeight="1" s="42">
      <c r="A3" s="69" t="n"/>
      <c r="B3" s="70" t="inlineStr">
        <is>
          <t>Portal da Transparência</t>
        </is>
      </c>
      <c r="C3" s="69" t="inlineStr">
        <is>
          <t>transparencia.gov.br → Servidores → buscar 'Anderson Vieira de Lima' → aba Remuneração Mensal → exportar CSV por ano</t>
        </is>
      </c>
      <c r="D3" s="69" t="inlineStr">
        <is>
          <t>VB, GAE, GDASS mês a mês. Toda variação no VB = progressão</t>
        </is>
      </c>
      <c r="E3" s="69" t="inlineStr">
        <is>
          <t>2013–2026</t>
        </is>
      </c>
    </row>
    <row r="4" ht="39.75" customHeight="1" s="42">
      <c r="A4" s="66" t="n"/>
      <c r="B4" s="67" t="inlineStr">
        <is>
          <t>LAI / Fala.BR</t>
        </is>
      </c>
      <c r="C4" s="66" t="inlineStr">
        <is>
          <t>falabr.cgu.gov.br → Novo pedido → órgão: INSS → usar texto da aba PEDIDO_LAI</t>
        </is>
      </c>
      <c r="D4" s="66" t="inlineStr">
        <is>
          <t>Fichas financeiras 2008–2013 + histórico SIAPE + portarias de progressão</t>
        </is>
      </c>
      <c r="E4" s="66" t="inlineStr">
        <is>
          <t>2008–2013</t>
        </is>
      </c>
    </row>
    <row r="5" ht="39.75" customHeight="1" s="42">
      <c r="A5" s="69" t="n"/>
      <c r="B5" s="70" t="inlineStr">
        <is>
          <t>Diário Oficial da União</t>
        </is>
      </c>
      <c r="C5" s="69" t="inlineStr">
        <is>
          <t>in.gov.br → Pesquisa → buscar: 'Anderson Vieira Lima' + 'INSS' + 'progressão' OU 'promoção'</t>
        </is>
      </c>
      <c r="D5" s="69" t="inlineStr">
        <is>
          <t>Portarias de progressão/promoção. Comprovam data exata e fundamento legal de cada evento</t>
        </is>
      </c>
      <c r="E5" s="69" t="inlineStr">
        <is>
          <t>2008–2026</t>
        </is>
      </c>
    </row>
    <row r="6" ht="39.75" customHeight="1" s="42">
      <c r="A6" s="66" t="n"/>
      <c r="B6" s="67" t="inlineStr">
        <is>
          <t>Jusbrasil Diários</t>
        </is>
      </c>
      <c r="C6" s="66" t="inlineStr">
        <is>
          <t>diarios.jusbrasil.com.br → pesquisar nome completo do servidor</t>
        </is>
      </c>
      <c r="D6" s="66" t="inlineStr">
        <is>
          <t>Alternativa ao DOU. Melhor interface de busca. Mesmos documentos.</t>
        </is>
      </c>
      <c r="E6" s="66" t="inlineStr">
        <is>
          <t>2008–2026</t>
        </is>
      </c>
    </row>
    <row r="7" ht="39.75" customHeight="1" s="42">
      <c r="A7" s="69" t="n"/>
      <c r="B7" s="70" t="inlineStr">
        <is>
          <t>Portal INSS — COGP</t>
        </is>
      </c>
      <c r="C7" s="69" t="inlineStr">
        <is>
          <t>inss.gov.br → transparência → servidores</t>
        </is>
      </c>
      <c r="D7" s="69" t="inlineStr">
        <is>
          <t>Confirmar lotação, cargo e dados cadastrais públicos</t>
        </is>
      </c>
      <c r="E7" s="69" t="inlineStr">
        <is>
          <t>Atual</t>
        </is>
      </c>
    </row>
    <row r="8" ht="39.75" customHeight="1" s="42">
      <c r="A8" s="66" t="n"/>
      <c r="B8" s="67" t="inlineStr">
        <is>
          <t>SouGov Currículo</t>
        </is>
      </c>
      <c r="C8" s="66" t="inlineStr">
        <is>
          <t>sigepe.gov.br → consulta pública de currículos (se disponível)</t>
        </is>
      </c>
      <c r="D8" s="66" t="inlineStr">
        <is>
          <t>Formação, cursos, dados de carreira auto-declarados pelo servidor</t>
        </is>
      </c>
      <c r="E8" s="66" t="inlineStr">
        <is>
          <t>Atual</t>
        </is>
      </c>
    </row>
    <row r="9" ht="39.75" customHeight="1" s="42">
      <c r="A9" s="69" t="n"/>
      <c r="B9" s="70" t="inlineStr">
        <is>
          <t>Consulta Pública SIAPE</t>
        </is>
      </c>
      <c r="C9" s="69" t="inlineStr">
        <is>
          <t>portaldatransparencia.gov.br/servidores/consulta → matrícula SIAPE</t>
        </is>
      </c>
      <c r="D9" s="69" t="inlineStr">
        <is>
          <t>Confirmar matrícula, cargo, lotação, classe/padrão atual</t>
        </is>
      </c>
      <c r="E9" s="69" t="inlineStr">
        <is>
          <t>Atual</t>
        </is>
      </c>
    </row>
    <row r="10" ht="39.75" customHeight="1" s="42">
      <c r="A10" s="66" t="n"/>
      <c r="B10" s="67" t="inlineStr">
        <is>
          <t>LegisTrab / Planalto</t>
        </is>
      </c>
      <c r="C10" s="66" t="inlineStr">
        <is>
          <t>planalto.gov.br → Lei 11.355/2006 + Lei 13.324/2016 + tabelas remuneratórias</t>
        </is>
      </c>
      <c r="D10" s="66" t="inlineStr">
        <is>
          <t>Tabelas de VB por classe/padrão em cada ano — fundamentação dos cálculos</t>
        </is>
      </c>
      <c r="E10" s="66" t="inlineStr">
        <is>
          <t>2006–2026</t>
        </is>
      </c>
    </row>
  </sheetData>
  <mergeCells count="1">
    <mergeCell ref="B1: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2026-05-31T13:32:28Z</dcterms:created>
  <dcterms:modified xsi:type="dcterms:W3CDTF">2026-10-01T11:57:18Z</dcterms:modified>
  <cp:revision>0</cp:revision>
</cp:coreProperties>
</file>